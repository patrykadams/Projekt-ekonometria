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gie\Desktop\projekt ekonometria\data-sets\"/>
    </mc:Choice>
  </mc:AlternateContent>
  <xr:revisionPtr revIDLastSave="0" documentId="13_ncr:1_{DA5278C2-0C2D-41CF-A352-431A6EAD70D8}" xr6:coauthVersionLast="47" xr6:coauthVersionMax="47" xr10:uidLastSave="{00000000-0000-0000-0000-000000000000}"/>
  <bookViews>
    <workbookView xWindow="-98" yWindow="-98" windowWidth="21795" windowHeight="12975" activeTab="1" xr2:uid="{4F5C0519-CFB8-4E2F-9407-A68802769ED7}"/>
  </bookViews>
  <sheets>
    <sheet name="Dane" sheetId="1" r:id="rId1"/>
    <sheet name="Wykresy zmiennych" sheetId="4" r:id="rId2"/>
    <sheet name="Źródł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5" i="4" l="1"/>
  <c r="P180" i="4"/>
  <c r="O225" i="4"/>
  <c r="N225" i="4"/>
  <c r="L225" i="4"/>
  <c r="K225" i="4"/>
  <c r="K226" i="4"/>
  <c r="J203" i="4"/>
  <c r="D203" i="4"/>
  <c r="J180" i="4"/>
  <c r="D180" i="4"/>
  <c r="K216" i="4" l="1" a="1"/>
  <c r="K216" i="4" s="1"/>
  <c r="D96" i="4" a="1"/>
  <c r="D96" i="4" s="1"/>
  <c r="D101" i="4" s="1"/>
  <c r="M96" i="4" a="1"/>
  <c r="M96" i="4" s="1"/>
  <c r="M101" i="4" s="1"/>
  <c r="D148" i="4" a="1"/>
  <c r="G150" i="4" s="1"/>
  <c r="D139" i="4" a="1"/>
  <c r="D139" i="4" s="1"/>
  <c r="D144" i="4" s="1"/>
  <c r="I118" i="4" a="1"/>
  <c r="I118" i="4" s="1"/>
  <c r="M105" i="4" a="1"/>
  <c r="N110" i="4" s="1"/>
  <c r="R75" i="4" a="1"/>
  <c r="R75" i="4" s="1"/>
  <c r="D105" i="4" a="1"/>
  <c r="E110" i="4" s="1"/>
  <c r="I75" i="4" a="1"/>
  <c r="I75" i="4" s="1"/>
  <c r="M59" i="4" a="1"/>
  <c r="N64" i="4" s="1"/>
  <c r="M50" i="4" a="1"/>
  <c r="M50" i="4" s="1"/>
  <c r="M55" i="4" s="1"/>
  <c r="R29" i="4" a="1"/>
  <c r="R29" i="4" s="1"/>
  <c r="I29" i="4" a="1"/>
  <c r="I29" i="4" s="1"/>
  <c r="H50" i="4" l="1" a="1"/>
  <c r="H59" i="4" a="1"/>
  <c r="H59" i="4" s="1"/>
  <c r="G141" i="4"/>
  <c r="E144" i="4"/>
  <c r="P98" i="4"/>
  <c r="N101" i="4"/>
  <c r="G98" i="4"/>
  <c r="E101" i="4"/>
  <c r="G107" i="4"/>
  <c r="P52" i="4"/>
  <c r="N55" i="4"/>
  <c r="P61" i="4"/>
  <c r="H148" i="4" a="1"/>
  <c r="H139" i="4" a="1"/>
  <c r="E153" i="4"/>
  <c r="D148" i="4"/>
  <c r="D153" i="4" s="1"/>
  <c r="Q96" i="4" a="1"/>
  <c r="Q105" i="4" a="1"/>
  <c r="M105" i="4"/>
  <c r="M110" i="4" s="1"/>
  <c r="P107" i="4"/>
  <c r="H96" i="4" a="1"/>
  <c r="H105" i="4" a="1"/>
  <c r="D105" i="4"/>
  <c r="D110" i="4" s="1"/>
  <c r="Q50" i="4" a="1"/>
  <c r="Q59" i="4" a="1"/>
  <c r="Q67" i="4" s="1"/>
  <c r="M59" i="4"/>
  <c r="M64" i="4" s="1"/>
  <c r="H50" i="4"/>
  <c r="H55" i="4" s="1"/>
  <c r="I55" i="4"/>
  <c r="J52" i="4"/>
  <c r="D50" i="4" a="1"/>
  <c r="D59" i="4" a="1"/>
  <c r="H67" i="4" l="1"/>
  <c r="J61" i="4"/>
  <c r="I64" i="4"/>
  <c r="H139" i="4"/>
  <c r="H144" i="4" s="1"/>
  <c r="I144" i="4"/>
  <c r="J141" i="4"/>
  <c r="I153" i="4"/>
  <c r="J150" i="4"/>
  <c r="H148" i="4"/>
  <c r="H153" i="4" s="1"/>
  <c r="R110" i="4"/>
  <c r="S107" i="4"/>
  <c r="Q105" i="4"/>
  <c r="Q110" i="4" s="1"/>
  <c r="Q96" i="4"/>
  <c r="Q101" i="4" s="1"/>
  <c r="R101" i="4"/>
  <c r="S98" i="4"/>
  <c r="I110" i="4"/>
  <c r="J107" i="4"/>
  <c r="H105" i="4"/>
  <c r="H110" i="4" s="1"/>
  <c r="H96" i="4"/>
  <c r="H101" i="4" s="1"/>
  <c r="I101" i="4"/>
  <c r="J98" i="4"/>
  <c r="R64" i="4"/>
  <c r="S61" i="4"/>
  <c r="Q59" i="4"/>
  <c r="Q64" i="4" s="1"/>
  <c r="Q50" i="4"/>
  <c r="Q55" i="4" s="1"/>
  <c r="R55" i="4"/>
  <c r="S52" i="4"/>
  <c r="D59" i="4"/>
  <c r="D64" i="4" s="1"/>
  <c r="E64" i="4"/>
  <c r="G61" i="4"/>
  <c r="D50" i="4"/>
  <c r="D55" i="4" s="1"/>
  <c r="E55" i="4"/>
  <c r="G52" i="4"/>
  <c r="H64" i="4" l="1"/>
  <c r="I6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<sst xmlns="http://schemas.openxmlformats.org/spreadsheetml/2006/main" count="264" uniqueCount="111">
  <si>
    <t>Cena złota (USD/oz)</t>
  </si>
  <si>
    <t>roczna inflacja USA (%)</t>
  </si>
  <si>
    <t>Roczne stopy procentowe USA (%)</t>
  </si>
  <si>
    <t>średnia roczna rentowność 10-letnich obligacji w USA (%)</t>
  </si>
  <si>
    <t>Cena srebra (USD/oz)</t>
  </si>
  <si>
    <t>Cena miedzi (USD/oz)</t>
  </si>
  <si>
    <t>Cena ropy (USD/baryłka)</t>
  </si>
  <si>
    <t>Rezerwy złota banków centralnych (w tonach)</t>
  </si>
  <si>
    <t>Wartości indeksu VIX (USD)</t>
  </si>
  <si>
    <t>Wartość US Dollar Index (USD)</t>
  </si>
  <si>
    <t>Popyt  na złoto w etf (tony)</t>
  </si>
  <si>
    <t>Rezerwy złota banków centralnych (w tysiącach ton)</t>
  </si>
  <si>
    <t>Cena miedzi (USD/100oz)</t>
  </si>
  <si>
    <t>dane</t>
  </si>
  <si>
    <t>źródło</t>
  </si>
  <si>
    <t>link</t>
  </si>
  <si>
    <t>Cena złota (USD/uncja)</t>
  </si>
  <si>
    <t>macrotrends</t>
  </si>
  <si>
    <t>https://www.moneymetals.com/gold-price-history</t>
  </si>
  <si>
    <t>FRED</t>
  </si>
  <si>
    <t>https://fred.stlouisfed.org/series/FPCPITOTLZGUSA</t>
  </si>
  <si>
    <t>fred</t>
  </si>
  <si>
    <t>https://fred.stlouisfed.org/series/FEDFUNDS</t>
  </si>
  <si>
    <t>średnia roczna rentowność 10-letnich obligacji w USA (%</t>
  </si>
  <si>
    <t>https://www.macrotrends.net/2016/10-year-treasury-bond-rate-yield-chart</t>
  </si>
  <si>
    <t>Cena srebra (USD/uncja)</t>
  </si>
  <si>
    <t>moneymetals</t>
  </si>
  <si>
    <t>https://www.macrotrends.net/1470/historical-silver-prices</t>
  </si>
  <si>
    <t>https://www.macrotrends.net/1476/copper-prices-historical-chart-data</t>
  </si>
  <si>
    <t>https://www.macrotrends.net/2480/brent-crude-oil-prices-10-year-daily-chart</t>
  </si>
  <si>
    <t>Cena ropy (USD/uncję)</t>
  </si>
  <si>
    <t>gold.org</t>
  </si>
  <si>
    <t>https://www.gold.org/goldhub/data/gold-reserves-by-country</t>
  </si>
  <si>
    <t>cboe</t>
  </si>
  <si>
    <t>https://www.cboe.com/tradable_products/vix/vix_historical_data/</t>
  </si>
  <si>
    <t>Investing</t>
  </si>
  <si>
    <t>https://www.investing.com/currencies/us-dollar-index</t>
  </si>
  <si>
    <t>Y</t>
  </si>
  <si>
    <t>X3</t>
  </si>
  <si>
    <t>X4</t>
  </si>
  <si>
    <t>X8</t>
  </si>
  <si>
    <t>X10</t>
  </si>
  <si>
    <t>X6</t>
  </si>
  <si>
    <t>Dla zmiennej X3:</t>
  </si>
  <si>
    <t>t</t>
  </si>
  <si>
    <t>Czas w latach</t>
  </si>
  <si>
    <t>t^2</t>
  </si>
  <si>
    <t>hiperbola</t>
  </si>
  <si>
    <t>Parabola</t>
  </si>
  <si>
    <t>parabola</t>
  </si>
  <si>
    <t>1/t</t>
  </si>
  <si>
    <t>wykładniczy</t>
  </si>
  <si>
    <t>potęgowy</t>
  </si>
  <si>
    <t>lnY</t>
  </si>
  <si>
    <t>Hiperbola</t>
  </si>
  <si>
    <t>(X3) Cena srebra (USD/oz)</t>
  </si>
  <si>
    <t>lnt</t>
  </si>
  <si>
    <t>Wykładniczy</t>
  </si>
  <si>
    <t>Potęgowy</t>
  </si>
  <si>
    <t>Vs</t>
  </si>
  <si>
    <t>Dla zmiennej X4:</t>
  </si>
  <si>
    <t>Dla zmiennej X6:</t>
  </si>
  <si>
    <t>Dla zmiennej X8:</t>
  </si>
  <si>
    <t>Dla zmiennej X10:</t>
  </si>
  <si>
    <t>b0</t>
  </si>
  <si>
    <t>b1</t>
  </si>
  <si>
    <t>Y=5,557*t^1,171509323</t>
  </si>
  <si>
    <t>Y=5,557*t^0,4992</t>
  </si>
  <si>
    <t>(X4) Cena miedzi (USD/100oz)</t>
  </si>
  <si>
    <t>Średnia roczna rentowność 10-letnich obligacji w USA (%)</t>
  </si>
  <si>
    <t>Y=7,6651t^0,3637</t>
  </si>
  <si>
    <t>Y = 0,0263t^2 - 0,2621t + 27,082</t>
  </si>
  <si>
    <t>Y=5,1788*e^-0,066t</t>
  </si>
  <si>
    <t>Y=0,2074t^2-3,2991t+94,503</t>
  </si>
  <si>
    <t>Model ostateczny:</t>
  </si>
  <si>
    <t>Wyraz wolny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</si>
  <si>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</si>
  <si>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</si>
  <si>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</si>
  <si>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</si>
  <si>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</si>
  <si>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</si>
  <si>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</si>
  <si>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</si>
  <si>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Regresja</t>
  </si>
  <si>
    <t>Resztkowy</t>
  </si>
  <si>
    <t>Razem</t>
  </si>
  <si>
    <t>Przecięcie</t>
  </si>
  <si>
    <t>df</t>
  </si>
  <si>
    <t>SS</t>
  </si>
  <si>
    <t>MS</t>
  </si>
  <si>
    <t>F</t>
  </si>
  <si>
    <t>Istotność F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</si>
  <si>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</si>
  <si>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</si>
  <si>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</si>
  <si>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</si>
  <si>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</si>
  <si>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</si>
  <si>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</si>
  <si>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Prognoza na 2021:</t>
  </si>
  <si>
    <t>Wartości zaprognozowane</t>
  </si>
  <si>
    <t>Zmienne</t>
  </si>
  <si>
    <t>-</t>
  </si>
  <si>
    <t>Wartośc w roku 2021:</t>
  </si>
  <si>
    <t>SKŁADNIKI RESZTOWE - WYJŚCIE</t>
  </si>
  <si>
    <t>Obserwacja</t>
  </si>
  <si>
    <t>Przewidywane Cena złota (USD/oz)</t>
  </si>
  <si>
    <t>Składniki resztowe</t>
  </si>
  <si>
    <t>Rok</t>
  </si>
  <si>
    <t>Dla t=19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</si>
</sst>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0.0000_ ;[Red]\-0.0000\ "/>
    <numFmt numFmtId="166" formatCode="0.000_ ;[Red]\-0.000\ "/>
    <numFmt numFmtId="167" formatCode="0.000"/>
  </numFmts>
  <fonts count="9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9" fontId="7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vertical="center" wrapText="1"/>
    </xf>
    <xf numFmtId="166" fontId="3" fillId="0" borderId="0" xfId="0" applyNumberFormat="1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167" fontId="0" fillId="0" borderId="0" xfId="0" applyNumberFormat="1" applyAlignment="1">
      <alignment vertical="center" wrapText="1"/>
    </xf>
    <xf numFmtId="0" fontId="5" fillId="0" borderId="0" xfId="2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left"/>
    </xf>
    <xf numFmtId="0" fontId="0" fillId="0" borderId="5" xfId="0" applyBorder="1"/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10" fontId="0" fillId="0" borderId="0" xfId="3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4" borderId="0" xfId="0" applyFill="1"/>
    <xf numFmtId="0" fontId="8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0" fillId="0" borderId="0" xfId="0" applyBorder="1"/>
    <xf numFmtId="0" fontId="1" fillId="5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0" fillId="0" borderId="7" xfId="0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Continuous"/>
    </xf>
    <xf numFmtId="0" fontId="6" fillId="0" borderId="0" xfId="0" applyFont="1" applyFill="1" applyBorder="1" applyAlignment="1">
      <alignment horizontal="centerContinuous"/>
    </xf>
    <xf numFmtId="0" fontId="6" fillId="0" borderId="0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/>
    </xf>
    <xf numFmtId="0" fontId="0" fillId="0" borderId="9" xfId="0" applyBorder="1"/>
    <xf numFmtId="0" fontId="8" fillId="5" borderId="12" xfId="0" applyFont="1" applyFill="1" applyBorder="1" applyAlignment="1">
      <alignment horizontal="center"/>
    </xf>
    <xf numFmtId="0" fontId="8" fillId="5" borderId="13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8" fillId="6" borderId="6" xfId="0" applyFont="1" applyFill="1" applyBorder="1"/>
    <xf numFmtId="0" fontId="8" fillId="6" borderId="7" xfId="0" applyFont="1" applyFill="1" applyBorder="1"/>
    <xf numFmtId="0" fontId="0" fillId="0" borderId="0" xfId="0" applyFill="1"/>
    <xf numFmtId="0" fontId="0" fillId="7" borderId="0" xfId="0" applyFill="1"/>
  </cellXfs>
  <cellStyles count="4">
    <cellStyle name="Hiperłącze" xfId="2" builtinId="8"/>
    <cellStyle name="Normalny" xfId="0" builtinId="0"/>
    <cellStyle name="Normalny 2" xfId="1" xr:uid="{E55DF209-C3A2-4FA9-B5A6-5FD1664833F5}"/>
    <cellStyle name="Procentowy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  <a:p>
            <a:pPr>
              <a:defRPr/>
            </a:pPr>
            <a:r>
              <a:rPr lang="en-US"/>
              <a:t>X3 Cena srebra (USD/oz)</a:t>
            </a:r>
          </a:p>
        </c:rich>
      </c:tx>
      <c:layout>
        <c:manualLayout>
          <c:xMode val="edge"/>
          <c:yMode val="edge"/>
          <c:x val="0.3027707786526684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11565048118985127"/>
          <c:y val="0.15824074074074074"/>
          <c:w val="0.84112729658792651"/>
          <c:h val="0.734730242053076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'Wykresy zmiennych'!$D$27</c:f>
              <c:strCache>
                <c:ptCount val="1"/>
                <c:pt idx="0">
                  <c:v>(X3) Cena srebra (USD/oz)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C000"/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54154002624671915"/>
                  <c:y val="-0.2133027121609798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5,5572</a:t>
                    </a:r>
                    <a:r>
                      <a:rPr lang="pl-PL" baseline="0"/>
                      <a:t>t</a:t>
                    </a:r>
                    <a:r>
                      <a:rPr lang="en-US" baseline="30000"/>
                      <a:t>0,4992</a:t>
                    </a:r>
                    <a:br>
                      <a:rPr lang="en-US" baseline="0"/>
                    </a:br>
                    <a:r>
                      <a:rPr lang="en-US" baseline="0"/>
                      <a:t>R² = 0,3012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'Wykresy zmiennych'!$E$29:$E$46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'Wykresy zmiennych'!$D$29:$D$46</c:f>
              <c:numCache>
                <c:formatCode>0.000_ ;[Red]\-0.000\ </c:formatCode>
                <c:ptCount val="18"/>
                <c:pt idx="0">
                  <c:v>4.88</c:v>
                </c:pt>
                <c:pt idx="1">
                  <c:v>6.68</c:v>
                </c:pt>
                <c:pt idx="2">
                  <c:v>7.31</c:v>
                </c:pt>
                <c:pt idx="3">
                  <c:v>11.56</c:v>
                </c:pt>
                <c:pt idx="4">
                  <c:v>13.36</c:v>
                </c:pt>
                <c:pt idx="5">
                  <c:v>14.97</c:v>
                </c:pt>
                <c:pt idx="6">
                  <c:v>14.69</c:v>
                </c:pt>
                <c:pt idx="7">
                  <c:v>20.21</c:v>
                </c:pt>
                <c:pt idx="8">
                  <c:v>35.29</c:v>
                </c:pt>
                <c:pt idx="9">
                  <c:v>31.18</c:v>
                </c:pt>
                <c:pt idx="10">
                  <c:v>23.85</c:v>
                </c:pt>
                <c:pt idx="11">
                  <c:v>19.079999999999998</c:v>
                </c:pt>
                <c:pt idx="12">
                  <c:v>15.71</c:v>
                </c:pt>
                <c:pt idx="13">
                  <c:v>17.14</c:v>
                </c:pt>
                <c:pt idx="14">
                  <c:v>17.07</c:v>
                </c:pt>
                <c:pt idx="15">
                  <c:v>15.71</c:v>
                </c:pt>
                <c:pt idx="16">
                  <c:v>16.22</c:v>
                </c:pt>
                <c:pt idx="17">
                  <c:v>20.69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81-44A0-B2BA-2DEC97D6D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1359"/>
        <c:axId val="7049919"/>
      </c:scatterChart>
      <c:valAx>
        <c:axId val="7051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49919"/>
        <c:crosses val="autoZero"/>
        <c:crossBetween val="midCat"/>
      </c:valAx>
      <c:valAx>
        <c:axId val="704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;[Red]\-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051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X4</a:t>
            </a:r>
            <a:r>
              <a:rPr lang="en-US"/>
              <a:t> Cena miedzi (USD/100oz)</a:t>
            </a:r>
          </a:p>
        </c:rich>
      </c:tx>
      <c:layout>
        <c:manualLayout>
          <c:xMode val="edge"/>
          <c:yMode val="edge"/>
          <c:x val="0.31066666666666665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'Wykresy zmiennych'!$M$27</c:f>
              <c:strCache>
                <c:ptCount val="1"/>
                <c:pt idx="0">
                  <c:v>(X4) Cena miedzi (USD/100oz)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>
                    <a:lumMod val="40000"/>
                    <a:lumOff val="60000"/>
                  </a:schemeClr>
                </a:solidFill>
                <a:prstDash val="solid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53042891513560808"/>
                  <c:y val="-0.1042136920384951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7,6651</a:t>
                    </a:r>
                    <a:r>
                      <a:rPr lang="pl-PL" baseline="0"/>
                      <a:t>t</a:t>
                    </a:r>
                    <a:r>
                      <a:rPr lang="en-US" baseline="30000"/>
                      <a:t>0,3637</a:t>
                    </a:r>
                    <a:br>
                      <a:rPr lang="en-US" baseline="0"/>
                    </a:br>
                    <a:r>
                      <a:rPr lang="en-US" baseline="0"/>
                      <a:t>R² = 0,2997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'Wykresy zmiennych'!$N$29:$N$46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'Wykresy zmiennych'!$M$29:$M$46</c:f>
              <c:numCache>
                <c:formatCode>0.000_ ;[Red]\-0.000\ </c:formatCode>
                <c:ptCount val="18"/>
                <c:pt idx="0">
                  <c:v>5.08</c:v>
                </c:pt>
                <c:pt idx="1">
                  <c:v>8.0299999999999994</c:v>
                </c:pt>
                <c:pt idx="2">
                  <c:v>10.16</c:v>
                </c:pt>
                <c:pt idx="3">
                  <c:v>19.12</c:v>
                </c:pt>
                <c:pt idx="4">
                  <c:v>20.200000000000003</c:v>
                </c:pt>
                <c:pt idx="5">
                  <c:v>19.470000000000002</c:v>
                </c:pt>
                <c:pt idx="6">
                  <c:v>14.829999999999998</c:v>
                </c:pt>
                <c:pt idx="7">
                  <c:v>21.48</c:v>
                </c:pt>
                <c:pt idx="8">
                  <c:v>25.019999999999996</c:v>
                </c:pt>
                <c:pt idx="9">
                  <c:v>22.56</c:v>
                </c:pt>
                <c:pt idx="10">
                  <c:v>20.87</c:v>
                </c:pt>
                <c:pt idx="11">
                  <c:v>19.41</c:v>
                </c:pt>
                <c:pt idx="12">
                  <c:v>15.6</c:v>
                </c:pt>
                <c:pt idx="13">
                  <c:v>13.76</c:v>
                </c:pt>
                <c:pt idx="14">
                  <c:v>17.580000000000002</c:v>
                </c:pt>
                <c:pt idx="15">
                  <c:v>18.329999999999998</c:v>
                </c:pt>
                <c:pt idx="16">
                  <c:v>17.010000000000002</c:v>
                </c:pt>
                <c:pt idx="17">
                  <c:v>17.510000000000002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99-4B37-A0B1-08BC80AEE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9345231"/>
        <c:axId val="929342831"/>
      </c:scatterChart>
      <c:valAx>
        <c:axId val="929345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9342831"/>
        <c:crosses val="autoZero"/>
        <c:crossBetween val="midCat"/>
      </c:valAx>
      <c:valAx>
        <c:axId val="92934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;[Red]\-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2934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X6 - </a:t>
            </a:r>
            <a:r>
              <a:rPr lang="en-US"/>
              <a:t>Rezerwy złota banków centralnych (w tysiącach ton)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'Wykresy zmiennych'!$D$73</c:f>
              <c:strCache>
                <c:ptCount val="1"/>
                <c:pt idx="0">
                  <c:v>Rezerwy złota banków centralnych (w tysiącach ton)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75000"/>
                  </a:schemeClr>
                </a:solidFill>
                <a:prstDash val="solid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8997069116360455"/>
                  <c:y val="2.2314814814814815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0,0263</a:t>
                    </a:r>
                    <a:r>
                      <a:rPr lang="pl-PL" baseline="0"/>
                      <a:t>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- 0,2621</a:t>
                    </a:r>
                    <a:r>
                      <a:rPr lang="pl-PL" baseline="0"/>
                      <a:t>t</a:t>
                    </a:r>
                    <a:r>
                      <a:rPr lang="en-US" baseline="0"/>
                      <a:t> + 27,082</a:t>
                    </a:r>
                    <a:br>
                      <a:rPr lang="en-US" baseline="0"/>
                    </a:br>
                    <a:r>
                      <a:rPr lang="en-US" baseline="0"/>
                      <a:t>R² = 0,9465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'Wykresy zmiennych'!$E$75:$E$92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'Wykresy zmiennych'!$D$75:$D$92</c:f>
              <c:numCache>
                <c:formatCode>0.000_ ;[Red]\-0.000\ </c:formatCode>
                <c:ptCount val="18"/>
                <c:pt idx="0">
                  <c:v>27.368110000000005</c:v>
                </c:pt>
                <c:pt idx="1">
                  <c:v>26.96921</c:v>
                </c:pt>
                <c:pt idx="2">
                  <c:v>26.436130000000002</c:v>
                </c:pt>
                <c:pt idx="3">
                  <c:v>26.163239999999995</c:v>
                </c:pt>
                <c:pt idx="4">
                  <c:v>25.77122</c:v>
                </c:pt>
                <c:pt idx="5">
                  <c:v>25.809720000000006</c:v>
                </c:pt>
                <c:pt idx="6">
                  <c:v>26.549669999999999</c:v>
                </c:pt>
                <c:pt idx="7">
                  <c:v>26.715580000000003</c:v>
                </c:pt>
                <c:pt idx="8">
                  <c:v>27.015050000000009</c:v>
                </c:pt>
                <c:pt idx="9">
                  <c:v>27.289280000000012</c:v>
                </c:pt>
                <c:pt idx="10">
                  <c:v>27.473070000000007</c:v>
                </c:pt>
                <c:pt idx="11">
                  <c:v>27.720430000000004</c:v>
                </c:pt>
                <c:pt idx="12">
                  <c:v>28.601160000000007</c:v>
                </c:pt>
                <c:pt idx="13">
                  <c:v>28.826500000000006</c:v>
                </c:pt>
                <c:pt idx="14">
                  <c:v>29.157740000000015</c:v>
                </c:pt>
                <c:pt idx="15">
                  <c:v>29.643969999999999</c:v>
                </c:pt>
                <c:pt idx="16">
                  <c:v>30.23465000000003</c:v>
                </c:pt>
                <c:pt idx="17">
                  <c:v>30.380080000000014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7-4153-B991-B83660B02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741823"/>
        <c:axId val="356739423"/>
      </c:scatterChart>
      <c:valAx>
        <c:axId val="35674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6739423"/>
        <c:crosses val="autoZero"/>
        <c:crossBetween val="midCat"/>
      </c:valAx>
      <c:valAx>
        <c:axId val="356739423"/>
        <c:scaling>
          <c:orientation val="minMax"/>
          <c:min val="2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;[Red]\-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5674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X8 - </a:t>
            </a:r>
            <a:r>
              <a:rPr lang="en-US"/>
              <a:t>Wartości indeksu VIX (USD)</a:t>
            </a:r>
          </a:p>
        </c:rich>
      </c:tx>
      <c:layout>
        <c:manualLayout>
          <c:xMode val="edge"/>
          <c:yMode val="edge"/>
          <c:x val="0.24775678040244975"/>
          <c:y val="5.0925944490355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'Wykresy zmiennych'!$M$73</c:f>
              <c:strCache>
                <c:ptCount val="1"/>
                <c:pt idx="0">
                  <c:v>Wartość US Dollar Index (USD)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accent5">
                    <a:lumMod val="60000"/>
                    <a:lumOff val="40000"/>
                  </a:schemeClr>
                </a:solidFill>
                <a:prstDash val="solid"/>
              </a:ln>
              <a:effectLst>
                <a:outerShdw blurRad="50800" dist="50800" dir="6000000" algn="ctr" rotWithShape="0">
                  <a:schemeClr val="bg1">
                    <a:alpha val="43000"/>
                  </a:schemeClr>
                </a:outerShdw>
              </a:effectLst>
            </c:spPr>
            <c:trendlineType val="poly"/>
            <c:order val="2"/>
            <c:dispRSqr val="1"/>
            <c:dispEq val="1"/>
            <c:trendlineLbl>
              <c:layout>
                <c:manualLayout>
                  <c:x val="5.5151574803149604E-2"/>
                  <c:y val="0.4995835154503920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0,2074</a:t>
                    </a:r>
                    <a:r>
                      <a:rPr lang="pl-PL" baseline="0"/>
                      <a:t>t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- 3,2991</a:t>
                    </a:r>
                    <a:r>
                      <a:rPr lang="pl-PL" baseline="0"/>
                      <a:t>t</a:t>
                    </a:r>
                    <a:r>
                      <a:rPr lang="en-US" baseline="0"/>
                      <a:t> + 94,503</a:t>
                    </a:r>
                    <a:br>
                      <a:rPr lang="en-US" baseline="0"/>
                    </a:br>
                    <a:r>
                      <a:rPr lang="en-US" baseline="0"/>
                      <a:t>R² = 0,6625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'Wykresy zmiennych'!$N$75:$N$92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'Wykresy zmiennych'!$M$75:$M$92</c:f>
              <c:numCache>
                <c:formatCode>0.000_ ;[Red]\-0.000\ </c:formatCode>
                <c:ptCount val="18"/>
                <c:pt idx="0">
                  <c:v>95.915612648221341</c:v>
                </c:pt>
                <c:pt idx="1">
                  <c:v>87.531019685039368</c:v>
                </c:pt>
                <c:pt idx="2">
                  <c:v>87.145976470588238</c:v>
                </c:pt>
                <c:pt idx="3">
                  <c:v>86.423519999999996</c:v>
                </c:pt>
                <c:pt idx="4">
                  <c:v>80.78503543307086</c:v>
                </c:pt>
                <c:pt idx="5">
                  <c:v>77.025200772200776</c:v>
                </c:pt>
                <c:pt idx="6">
                  <c:v>80.791648648648646</c:v>
                </c:pt>
                <c:pt idx="7">
                  <c:v>81.353321839080465</c:v>
                </c:pt>
                <c:pt idx="8">
                  <c:v>76.69775769230769</c:v>
                </c:pt>
                <c:pt idx="9">
                  <c:v>80.675657692307695</c:v>
                </c:pt>
                <c:pt idx="10">
                  <c:v>81.523255813953483</c:v>
                </c:pt>
                <c:pt idx="11">
                  <c:v>82.642864864864862</c:v>
                </c:pt>
                <c:pt idx="12">
                  <c:v>96.590656370656376</c:v>
                </c:pt>
                <c:pt idx="13">
                  <c:v>96.885158914728677</c:v>
                </c:pt>
                <c:pt idx="14">
                  <c:v>96.38869260700389</c:v>
                </c:pt>
                <c:pt idx="15">
                  <c:v>93.402437984496117</c:v>
                </c:pt>
                <c:pt idx="16">
                  <c:v>97.158903100775191</c:v>
                </c:pt>
                <c:pt idx="17">
                  <c:v>95.35642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E-4A9D-9626-69241ECF4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74863"/>
        <c:axId val="869873903"/>
      </c:scatterChart>
      <c:valAx>
        <c:axId val="869874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9873903"/>
        <c:crosses val="autoZero"/>
        <c:crossBetween val="midCat"/>
      </c:valAx>
      <c:valAx>
        <c:axId val="869873903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;[Red]\-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9874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'Wykresy zmiennych'!$D$116</c:f>
              <c:strCache>
                <c:ptCount val="1"/>
                <c:pt idx="0">
                  <c:v>Średnia roczna rentowność 10-letnich obligacji w USA 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4032152230971131E-2"/>
                  <c:y val="-0.3874445902595509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5,1788e</a:t>
                    </a:r>
                    <a:r>
                      <a:rPr lang="en-US" baseline="30000"/>
                      <a:t>-0,066</a:t>
                    </a:r>
                    <a:r>
                      <a:rPr lang="pl-PL" baseline="30000"/>
                      <a:t>t</a:t>
                    </a:r>
                    <a:br>
                      <a:rPr lang="en-US" baseline="0"/>
                    </a:br>
                    <a:r>
                      <a:rPr lang="en-US" baseline="0"/>
                      <a:t>R² = 0,7501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'Wykresy zmiennych'!$E$118:$E$135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'Wykresy zmiennych'!$D$118:$D$135</c:f>
              <c:numCache>
                <c:formatCode>0.000_ ;[Red]\-0.000\ </c:formatCode>
                <c:ptCount val="18"/>
                <c:pt idx="0">
                  <c:v>4.01</c:v>
                </c:pt>
                <c:pt idx="1">
                  <c:v>4.2699999999999996</c:v>
                </c:pt>
                <c:pt idx="2">
                  <c:v>4.29</c:v>
                </c:pt>
                <c:pt idx="3">
                  <c:v>4.8</c:v>
                </c:pt>
                <c:pt idx="4">
                  <c:v>4.63</c:v>
                </c:pt>
                <c:pt idx="5">
                  <c:v>3.66</c:v>
                </c:pt>
                <c:pt idx="6">
                  <c:v>3.26</c:v>
                </c:pt>
                <c:pt idx="7">
                  <c:v>3.2199999999999998</c:v>
                </c:pt>
                <c:pt idx="8">
                  <c:v>2.78</c:v>
                </c:pt>
                <c:pt idx="9">
                  <c:v>1.8000000000000003</c:v>
                </c:pt>
                <c:pt idx="10">
                  <c:v>2.35</c:v>
                </c:pt>
                <c:pt idx="11">
                  <c:v>2.54</c:v>
                </c:pt>
                <c:pt idx="12">
                  <c:v>2.14</c:v>
                </c:pt>
                <c:pt idx="13">
                  <c:v>1.8399999999999999</c:v>
                </c:pt>
                <c:pt idx="14">
                  <c:v>2.33</c:v>
                </c:pt>
                <c:pt idx="15">
                  <c:v>2.91</c:v>
                </c:pt>
                <c:pt idx="16">
                  <c:v>2.14</c:v>
                </c:pt>
                <c:pt idx="17">
                  <c:v>0.89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69-432A-88AE-7BBC52C03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4201871"/>
        <c:axId val="364198991"/>
      </c:scatterChart>
      <c:valAx>
        <c:axId val="3642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4198991"/>
        <c:crosses val="autoZero"/>
        <c:crossBetween val="midCat"/>
      </c:valAx>
      <c:valAx>
        <c:axId val="36419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_ ;[Red]\-0.0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4201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Cena srebra (USD/oz) Rozkład reszt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'Wykresy zmiennych'!$D$216:$D$233</c:f>
              <c:numCache>
                <c:formatCode>0.000_ ;[Red]\-0.000\ </c:formatCode>
                <c:ptCount val="18"/>
                <c:pt idx="0">
                  <c:v>4.88</c:v>
                </c:pt>
                <c:pt idx="1">
                  <c:v>6.68</c:v>
                </c:pt>
                <c:pt idx="2">
                  <c:v>7.31</c:v>
                </c:pt>
                <c:pt idx="3">
                  <c:v>11.56</c:v>
                </c:pt>
                <c:pt idx="4">
                  <c:v>13.36</c:v>
                </c:pt>
                <c:pt idx="5">
                  <c:v>14.97</c:v>
                </c:pt>
                <c:pt idx="6">
                  <c:v>14.69</c:v>
                </c:pt>
                <c:pt idx="7">
                  <c:v>20.21</c:v>
                </c:pt>
                <c:pt idx="8">
                  <c:v>35.29</c:v>
                </c:pt>
                <c:pt idx="9">
                  <c:v>31.18</c:v>
                </c:pt>
                <c:pt idx="10">
                  <c:v>23.85</c:v>
                </c:pt>
                <c:pt idx="11">
                  <c:v>19.079999999999998</c:v>
                </c:pt>
                <c:pt idx="12">
                  <c:v>15.71</c:v>
                </c:pt>
                <c:pt idx="13">
                  <c:v>17.14</c:v>
                </c:pt>
                <c:pt idx="14">
                  <c:v>17.07</c:v>
                </c:pt>
                <c:pt idx="15">
                  <c:v>15.71</c:v>
                </c:pt>
                <c:pt idx="16">
                  <c:v>16.22</c:v>
                </c:pt>
                <c:pt idx="17">
                  <c:v>20.69</c:v>
                </c:pt>
              </c:numCache>
            </c:numRef>
          </c:xVal>
          <c:yVal>
            <c:numRef>
              <c:f>'Wykresy zmiennych'!$E$267:$E$284</c:f>
              <c:numCache>
                <c:formatCode>General</c:formatCode>
                <c:ptCount val="18"/>
                <c:pt idx="0">
                  <c:v>15.112929327137579</c:v>
                </c:pt>
                <c:pt idx="1">
                  <c:v>-29.800323816528589</c:v>
                </c:pt>
                <c:pt idx="2">
                  <c:v>1.4837217432818761</c:v>
                </c:pt>
                <c:pt idx="3">
                  <c:v>13.938133087858432</c:v>
                </c:pt>
                <c:pt idx="4">
                  <c:v>6.5630432587346377</c:v>
                </c:pt>
                <c:pt idx="5">
                  <c:v>-46.304536539199944</c:v>
                </c:pt>
                <c:pt idx="6">
                  <c:v>56.813663672806342</c:v>
                </c:pt>
                <c:pt idx="7">
                  <c:v>66.958601519703961</c:v>
                </c:pt>
                <c:pt idx="8">
                  <c:v>-19.49605766853324</c:v>
                </c:pt>
                <c:pt idx="9">
                  <c:v>15.028094063431126</c:v>
                </c:pt>
                <c:pt idx="10">
                  <c:v>-19.564284754657365</c:v>
                </c:pt>
                <c:pt idx="11">
                  <c:v>-46.805951572146569</c:v>
                </c:pt>
                <c:pt idx="12">
                  <c:v>-40.078212038544962</c:v>
                </c:pt>
                <c:pt idx="13">
                  <c:v>2.1551422493660084</c:v>
                </c:pt>
                <c:pt idx="14">
                  <c:v>-24.462196127336711</c:v>
                </c:pt>
                <c:pt idx="15">
                  <c:v>11.987369815502916</c:v>
                </c:pt>
                <c:pt idx="16">
                  <c:v>-3.9096198256468142</c:v>
                </c:pt>
                <c:pt idx="17">
                  <c:v>40.380483604769097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16-4041-BC60-2637135C3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243199"/>
        <c:axId val="926241279"/>
      </c:scatterChart>
      <c:valAx>
        <c:axId val="926243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Cena srebra (USD/oz)</a:t>
                </a:r>
              </a:p>
            </c:rich>
          </c:tx>
          <c:overlay val="0"/>
        </c:title>
        <c:numFmt formatCode="0.000_ ;[Red]\-0.000\ " sourceLinked="1"/>
        <c:majorTickMark val="out"/>
        <c:minorTickMark val="none"/>
        <c:tickLblPos val="nextTo"/>
        <c:crossAx val="926241279"/>
        <c:crosses val="autoZero"/>
        <c:crossBetween val="midCat"/>
      </c:valAx>
      <c:valAx>
        <c:axId val="926241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Składniki resztowe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262431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Cena miedzi (USD/100oz) Rozkład reszt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'Wykresy zmiennych'!$E$216:$E$233</c:f>
              <c:numCache>
                <c:formatCode>0.000_ ;[Red]\-0.000\ </c:formatCode>
                <c:ptCount val="18"/>
                <c:pt idx="0">
                  <c:v>5.08</c:v>
                </c:pt>
                <c:pt idx="1">
                  <c:v>8.0299999999999994</c:v>
                </c:pt>
                <c:pt idx="2">
                  <c:v>10.16</c:v>
                </c:pt>
                <c:pt idx="3">
                  <c:v>19.12</c:v>
                </c:pt>
                <c:pt idx="4">
                  <c:v>20.200000000000003</c:v>
                </c:pt>
                <c:pt idx="5">
                  <c:v>19.470000000000002</c:v>
                </c:pt>
                <c:pt idx="6">
                  <c:v>14.829999999999998</c:v>
                </c:pt>
                <c:pt idx="7">
                  <c:v>21.48</c:v>
                </c:pt>
                <c:pt idx="8">
                  <c:v>25.019999999999996</c:v>
                </c:pt>
                <c:pt idx="9">
                  <c:v>22.56</c:v>
                </c:pt>
                <c:pt idx="10">
                  <c:v>20.87</c:v>
                </c:pt>
                <c:pt idx="11">
                  <c:v>19.41</c:v>
                </c:pt>
                <c:pt idx="12">
                  <c:v>15.6</c:v>
                </c:pt>
                <c:pt idx="13">
                  <c:v>13.76</c:v>
                </c:pt>
                <c:pt idx="14">
                  <c:v>17.580000000000002</c:v>
                </c:pt>
                <c:pt idx="15">
                  <c:v>18.329999999999998</c:v>
                </c:pt>
                <c:pt idx="16">
                  <c:v>17.010000000000002</c:v>
                </c:pt>
                <c:pt idx="17">
                  <c:v>17.510000000000002</c:v>
                </c:pt>
              </c:numCache>
            </c:numRef>
          </c:xVal>
          <c:yVal>
            <c:numRef>
              <c:f>'Wykresy zmiennych'!$E$267:$E$284</c:f>
              <c:numCache>
                <c:formatCode>General</c:formatCode>
                <c:ptCount val="18"/>
                <c:pt idx="0">
                  <c:v>15.112929327137579</c:v>
                </c:pt>
                <c:pt idx="1">
                  <c:v>-29.800323816528589</c:v>
                </c:pt>
                <c:pt idx="2">
                  <c:v>1.4837217432818761</c:v>
                </c:pt>
                <c:pt idx="3">
                  <c:v>13.938133087858432</c:v>
                </c:pt>
                <c:pt idx="4">
                  <c:v>6.5630432587346377</c:v>
                </c:pt>
                <c:pt idx="5">
                  <c:v>-46.304536539199944</c:v>
                </c:pt>
                <c:pt idx="6">
                  <c:v>56.813663672806342</c:v>
                </c:pt>
                <c:pt idx="7">
                  <c:v>66.958601519703961</c:v>
                </c:pt>
                <c:pt idx="8">
                  <c:v>-19.49605766853324</c:v>
                </c:pt>
                <c:pt idx="9">
                  <c:v>15.028094063431126</c:v>
                </c:pt>
                <c:pt idx="10">
                  <c:v>-19.564284754657365</c:v>
                </c:pt>
                <c:pt idx="11">
                  <c:v>-46.805951572146569</c:v>
                </c:pt>
                <c:pt idx="12">
                  <c:v>-40.078212038544962</c:v>
                </c:pt>
                <c:pt idx="13">
                  <c:v>2.1551422493660084</c:v>
                </c:pt>
                <c:pt idx="14">
                  <c:v>-24.462196127336711</c:v>
                </c:pt>
                <c:pt idx="15">
                  <c:v>11.987369815502916</c:v>
                </c:pt>
                <c:pt idx="16">
                  <c:v>-3.9096198256468142</c:v>
                </c:pt>
                <c:pt idx="17">
                  <c:v>40.380483604769097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77-40CC-AD2B-DCB47D530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669695"/>
        <c:axId val="361670175"/>
      </c:scatterChart>
      <c:valAx>
        <c:axId val="361669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Cena miedzi (USD/100oz)</a:t>
                </a:r>
              </a:p>
            </c:rich>
          </c:tx>
          <c:overlay val="0"/>
        </c:title>
        <c:numFmt formatCode="0.000_ ;[Red]\-0.000\ " sourceLinked="1"/>
        <c:majorTickMark val="out"/>
        <c:minorTickMark val="none"/>
        <c:tickLblPos val="nextTo"/>
        <c:crossAx val="361670175"/>
        <c:crosses val="autoZero"/>
        <c:crossBetween val="midCat"/>
      </c:valAx>
      <c:valAx>
        <c:axId val="36167017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Składniki resztowe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6166969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Rezerwy złota banków centralnych (w tysiącach ton) Rozkład reszt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'Wykresy zmiennych'!$F$216:$F$233</c:f>
              <c:numCache>
                <c:formatCode>0.000_ ;[Red]\-0.000\ </c:formatCode>
                <c:ptCount val="18"/>
                <c:pt idx="0">
                  <c:v>27.368110000000005</c:v>
                </c:pt>
                <c:pt idx="1">
                  <c:v>26.96921</c:v>
                </c:pt>
                <c:pt idx="2">
                  <c:v>26.436130000000002</c:v>
                </c:pt>
                <c:pt idx="3">
                  <c:v>26.163239999999995</c:v>
                </c:pt>
                <c:pt idx="4">
                  <c:v>25.77122</c:v>
                </c:pt>
                <c:pt idx="5">
                  <c:v>25.809720000000006</c:v>
                </c:pt>
                <c:pt idx="6">
                  <c:v>26.549669999999999</c:v>
                </c:pt>
                <c:pt idx="7">
                  <c:v>26.715580000000003</c:v>
                </c:pt>
                <c:pt idx="8">
                  <c:v>27.015050000000009</c:v>
                </c:pt>
                <c:pt idx="9">
                  <c:v>27.289280000000012</c:v>
                </c:pt>
                <c:pt idx="10">
                  <c:v>27.473070000000007</c:v>
                </c:pt>
                <c:pt idx="11">
                  <c:v>27.720430000000004</c:v>
                </c:pt>
                <c:pt idx="12">
                  <c:v>28.601160000000007</c:v>
                </c:pt>
                <c:pt idx="13">
                  <c:v>28.826500000000006</c:v>
                </c:pt>
                <c:pt idx="14">
                  <c:v>29.157740000000015</c:v>
                </c:pt>
                <c:pt idx="15">
                  <c:v>29.643969999999999</c:v>
                </c:pt>
                <c:pt idx="16">
                  <c:v>30.23465000000003</c:v>
                </c:pt>
                <c:pt idx="17">
                  <c:v>30.380080000000014</c:v>
                </c:pt>
              </c:numCache>
            </c:numRef>
          </c:xVal>
          <c:yVal>
            <c:numRef>
              <c:f>'Wykresy zmiennych'!$E$267:$E$284</c:f>
              <c:numCache>
                <c:formatCode>General</c:formatCode>
                <c:ptCount val="18"/>
                <c:pt idx="0">
                  <c:v>15.112929327137579</c:v>
                </c:pt>
                <c:pt idx="1">
                  <c:v>-29.800323816528589</c:v>
                </c:pt>
                <c:pt idx="2">
                  <c:v>1.4837217432818761</c:v>
                </c:pt>
                <c:pt idx="3">
                  <c:v>13.938133087858432</c:v>
                </c:pt>
                <c:pt idx="4">
                  <c:v>6.5630432587346377</c:v>
                </c:pt>
                <c:pt idx="5">
                  <c:v>-46.304536539199944</c:v>
                </c:pt>
                <c:pt idx="6">
                  <c:v>56.813663672806342</c:v>
                </c:pt>
                <c:pt idx="7">
                  <c:v>66.958601519703961</c:v>
                </c:pt>
                <c:pt idx="8">
                  <c:v>-19.49605766853324</c:v>
                </c:pt>
                <c:pt idx="9">
                  <c:v>15.028094063431126</c:v>
                </c:pt>
                <c:pt idx="10">
                  <c:v>-19.564284754657365</c:v>
                </c:pt>
                <c:pt idx="11">
                  <c:v>-46.805951572146569</c:v>
                </c:pt>
                <c:pt idx="12">
                  <c:v>-40.078212038544962</c:v>
                </c:pt>
                <c:pt idx="13">
                  <c:v>2.1551422493660084</c:v>
                </c:pt>
                <c:pt idx="14">
                  <c:v>-24.462196127336711</c:v>
                </c:pt>
                <c:pt idx="15">
                  <c:v>11.987369815502916</c:v>
                </c:pt>
                <c:pt idx="16">
                  <c:v>-3.9096198256468142</c:v>
                </c:pt>
                <c:pt idx="17">
                  <c:v>40.380483604769097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C-44D4-B8B6-B543234E0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74383"/>
        <c:axId val="4305471"/>
      </c:scatterChart>
      <c:valAx>
        <c:axId val="869874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Rezerwy złota banków centralnych (w tysiącach ton)</a:t>
                </a:r>
              </a:p>
            </c:rich>
          </c:tx>
          <c:overlay val="0"/>
        </c:title>
        <c:numFmt formatCode="0.000_ ;[Red]\-0.000\ " sourceLinked="1"/>
        <c:majorTickMark val="out"/>
        <c:minorTickMark val="none"/>
        <c:tickLblPos val="nextTo"/>
        <c:crossAx val="4305471"/>
        <c:crosses val="autoZero"/>
        <c:crossBetween val="midCat"/>
      </c:valAx>
      <c:valAx>
        <c:axId val="430547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Składniki resztowe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987438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Wartość US Dollar Index (USD) Rozkład reszt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'Wykresy zmiennych'!$G$216:$G$233</c:f>
              <c:numCache>
                <c:formatCode>0.000_ ;[Red]\-0.000\ </c:formatCode>
                <c:ptCount val="18"/>
                <c:pt idx="0">
                  <c:v>95.915612648221341</c:v>
                </c:pt>
                <c:pt idx="1">
                  <c:v>87.531019685039368</c:v>
                </c:pt>
                <c:pt idx="2">
                  <c:v>87.145976470588238</c:v>
                </c:pt>
                <c:pt idx="3">
                  <c:v>86.423519999999996</c:v>
                </c:pt>
                <c:pt idx="4">
                  <c:v>80.78503543307086</c:v>
                </c:pt>
                <c:pt idx="5">
                  <c:v>77.025200772200776</c:v>
                </c:pt>
                <c:pt idx="6">
                  <c:v>80.791648648648646</c:v>
                </c:pt>
                <c:pt idx="7">
                  <c:v>81.353321839080465</c:v>
                </c:pt>
                <c:pt idx="8">
                  <c:v>76.69775769230769</c:v>
                </c:pt>
                <c:pt idx="9">
                  <c:v>80.675657692307695</c:v>
                </c:pt>
                <c:pt idx="10">
                  <c:v>81.523255813953483</c:v>
                </c:pt>
                <c:pt idx="11">
                  <c:v>82.642864864864862</c:v>
                </c:pt>
                <c:pt idx="12">
                  <c:v>96.590656370656376</c:v>
                </c:pt>
                <c:pt idx="13">
                  <c:v>96.885158914728677</c:v>
                </c:pt>
                <c:pt idx="14">
                  <c:v>96.38869260700389</c:v>
                </c:pt>
                <c:pt idx="15">
                  <c:v>93.402437984496117</c:v>
                </c:pt>
                <c:pt idx="16">
                  <c:v>97.158903100775191</c:v>
                </c:pt>
                <c:pt idx="17">
                  <c:v>95.35642</c:v>
                </c:pt>
              </c:numCache>
            </c:numRef>
          </c:xVal>
          <c:yVal>
            <c:numRef>
              <c:f>'Wykresy zmiennych'!$E$267:$E$284</c:f>
              <c:numCache>
                <c:formatCode>General</c:formatCode>
                <c:ptCount val="18"/>
                <c:pt idx="0">
                  <c:v>15.112929327137579</c:v>
                </c:pt>
                <c:pt idx="1">
                  <c:v>-29.800323816528589</c:v>
                </c:pt>
                <c:pt idx="2">
                  <c:v>1.4837217432818761</c:v>
                </c:pt>
                <c:pt idx="3">
                  <c:v>13.938133087858432</c:v>
                </c:pt>
                <c:pt idx="4">
                  <c:v>6.5630432587346377</c:v>
                </c:pt>
                <c:pt idx="5">
                  <c:v>-46.304536539199944</c:v>
                </c:pt>
                <c:pt idx="6">
                  <c:v>56.813663672806342</c:v>
                </c:pt>
                <c:pt idx="7">
                  <c:v>66.958601519703961</c:v>
                </c:pt>
                <c:pt idx="8">
                  <c:v>-19.49605766853324</c:v>
                </c:pt>
                <c:pt idx="9">
                  <c:v>15.028094063431126</c:v>
                </c:pt>
                <c:pt idx="10">
                  <c:v>-19.564284754657365</c:v>
                </c:pt>
                <c:pt idx="11">
                  <c:v>-46.805951572146569</c:v>
                </c:pt>
                <c:pt idx="12">
                  <c:v>-40.078212038544962</c:v>
                </c:pt>
                <c:pt idx="13">
                  <c:v>2.1551422493660084</c:v>
                </c:pt>
                <c:pt idx="14">
                  <c:v>-24.462196127336711</c:v>
                </c:pt>
                <c:pt idx="15">
                  <c:v>11.987369815502916</c:v>
                </c:pt>
                <c:pt idx="16">
                  <c:v>-3.9096198256468142</c:v>
                </c:pt>
                <c:pt idx="17">
                  <c:v>40.380483604769097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36-446B-9783-D0520F815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687599"/>
        <c:axId val="708688079"/>
      </c:scatterChart>
      <c:valAx>
        <c:axId val="708687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Wartość US Dollar Index (USD)</a:t>
                </a:r>
              </a:p>
            </c:rich>
          </c:tx>
          <c:overlay val="0"/>
        </c:title>
        <c:numFmt formatCode="0.000_ ;[Red]\-0.000\ " sourceLinked="1"/>
        <c:majorTickMark val="out"/>
        <c:minorTickMark val="none"/>
        <c:tickLblPos val="nextTo"/>
        <c:crossAx val="708688079"/>
        <c:crosses val="autoZero"/>
        <c:crossBetween val="midCat"/>
      </c:valAx>
      <c:valAx>
        <c:axId val="7086880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Składniki resztowe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08687599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l-PL"/>
              <a:t>średnia roczna rentowność 10-letnich obligacji w USA (%) Rozkład reszt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'Wykresy zmiennych'!$H$216:$H$233</c:f>
              <c:numCache>
                <c:formatCode>0.0000_ ;[Red]\-0.0000\ </c:formatCode>
                <c:ptCount val="18"/>
                <c:pt idx="0">
                  <c:v>4.01</c:v>
                </c:pt>
                <c:pt idx="1">
                  <c:v>4.2699999999999996</c:v>
                </c:pt>
                <c:pt idx="2">
                  <c:v>4.29</c:v>
                </c:pt>
                <c:pt idx="3">
                  <c:v>4.8</c:v>
                </c:pt>
                <c:pt idx="4">
                  <c:v>4.63</c:v>
                </c:pt>
                <c:pt idx="5">
                  <c:v>3.66</c:v>
                </c:pt>
                <c:pt idx="6">
                  <c:v>3.26</c:v>
                </c:pt>
                <c:pt idx="7">
                  <c:v>3.2199999999999998</c:v>
                </c:pt>
                <c:pt idx="8">
                  <c:v>2.78</c:v>
                </c:pt>
                <c:pt idx="9">
                  <c:v>1.8000000000000003</c:v>
                </c:pt>
                <c:pt idx="10">
                  <c:v>2.35</c:v>
                </c:pt>
                <c:pt idx="11">
                  <c:v>2.54</c:v>
                </c:pt>
                <c:pt idx="12">
                  <c:v>2.14</c:v>
                </c:pt>
                <c:pt idx="13">
                  <c:v>1.8399999999999999</c:v>
                </c:pt>
                <c:pt idx="14">
                  <c:v>2.33</c:v>
                </c:pt>
                <c:pt idx="15">
                  <c:v>2.91</c:v>
                </c:pt>
                <c:pt idx="16">
                  <c:v>2.14</c:v>
                </c:pt>
                <c:pt idx="17">
                  <c:v>0.89</c:v>
                </c:pt>
              </c:numCache>
            </c:numRef>
          </c:xVal>
          <c:yVal>
            <c:numRef>
              <c:f>'Wykresy zmiennych'!$E$267:$E$284</c:f>
              <c:numCache>
                <c:formatCode>General</c:formatCode>
                <c:ptCount val="18"/>
                <c:pt idx="0">
                  <c:v>15.112929327137579</c:v>
                </c:pt>
                <c:pt idx="1">
                  <c:v>-29.800323816528589</c:v>
                </c:pt>
                <c:pt idx="2">
                  <c:v>1.4837217432818761</c:v>
                </c:pt>
                <c:pt idx="3">
                  <c:v>13.938133087858432</c:v>
                </c:pt>
                <c:pt idx="4">
                  <c:v>6.5630432587346377</c:v>
                </c:pt>
                <c:pt idx="5">
                  <c:v>-46.304536539199944</c:v>
                </c:pt>
                <c:pt idx="6">
                  <c:v>56.813663672806342</c:v>
                </c:pt>
                <c:pt idx="7">
                  <c:v>66.958601519703961</c:v>
                </c:pt>
                <c:pt idx="8">
                  <c:v>-19.49605766853324</c:v>
                </c:pt>
                <c:pt idx="9">
                  <c:v>15.028094063431126</c:v>
                </c:pt>
                <c:pt idx="10">
                  <c:v>-19.564284754657365</c:v>
                </c:pt>
                <c:pt idx="11">
                  <c:v>-46.805951572146569</c:v>
                </c:pt>
                <c:pt idx="12">
                  <c:v>-40.078212038544962</c:v>
                </c:pt>
                <c:pt idx="13">
                  <c:v>2.1551422493660084</c:v>
                </c:pt>
                <c:pt idx="14">
                  <c:v>-24.462196127336711</c:v>
                </c:pt>
                <c:pt idx="15">
                  <c:v>11.987369815502916</c:v>
                </c:pt>
                <c:pt idx="16">
                  <c:v>-3.9096198256468142</c:v>
                </c:pt>
                <c:pt idx="17">
                  <c:v>40.380483604769097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AA-4111-9F07-3D30FC616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876303"/>
        <c:axId val="364200431"/>
      </c:scatterChart>
      <c:valAx>
        <c:axId val="8698763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średnia roczna rentowność 10-letnich obligacji w USA (%)</a:t>
                </a:r>
              </a:p>
            </c:rich>
          </c:tx>
          <c:overlay val="0"/>
        </c:title>
        <c:numFmt formatCode="0.0000_ ;[Red]\-0.0000\ " sourceLinked="1"/>
        <c:majorTickMark val="out"/>
        <c:minorTickMark val="none"/>
        <c:tickLblPos val="nextTo"/>
        <c:crossAx val="364200431"/>
        <c:crosses val="autoZero"/>
        <c:crossBetween val="midCat"/>
      </c:valAx>
      <c:valAx>
        <c:axId val="3642004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Składniki resztowe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69876303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Rozrzut</a:t>
            </a:r>
            <a:r>
              <a:rPr lang="pl-PL" baseline="0"/>
              <a:t> reszt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'Wykresy zmiennych'!$D$267:$D$284</c:f>
              <c:numCache>
                <c:formatCode>General</c:formatCode>
                <c:ptCount val="18"/>
                <c:pt idx="0">
                  <c:v>348.71707067286241</c:v>
                </c:pt>
                <c:pt idx="1">
                  <c:v>439.33032381652856</c:v>
                </c:pt>
                <c:pt idx="2">
                  <c:v>443.50627825671813</c:v>
                </c:pt>
                <c:pt idx="3">
                  <c:v>590.4018669121416</c:v>
                </c:pt>
                <c:pt idx="4">
                  <c:v>689.86695674126531</c:v>
                </c:pt>
                <c:pt idx="5">
                  <c:v>918.67453653919995</c:v>
                </c:pt>
                <c:pt idx="6">
                  <c:v>916.84633632719363</c:v>
                </c:pt>
                <c:pt idx="7">
                  <c:v>1159.7013984802961</c:v>
                </c:pt>
                <c:pt idx="8">
                  <c:v>1592.6560576685333</c:v>
                </c:pt>
                <c:pt idx="9">
                  <c:v>1653.8319059365688</c:v>
                </c:pt>
                <c:pt idx="10">
                  <c:v>1429.0742847546574</c:v>
                </c:pt>
                <c:pt idx="11">
                  <c:v>1312.8659515721465</c:v>
                </c:pt>
                <c:pt idx="12">
                  <c:v>1198.9382120385449</c:v>
                </c:pt>
                <c:pt idx="13">
                  <c:v>1249.7648577506341</c:v>
                </c:pt>
                <c:pt idx="14">
                  <c:v>1284.8521961273368</c:v>
                </c:pt>
                <c:pt idx="15">
                  <c:v>1256.9426301844971</c:v>
                </c:pt>
                <c:pt idx="16">
                  <c:v>1397.2496198256467</c:v>
                </c:pt>
                <c:pt idx="17">
                  <c:v>1733.3495163952309</c:v>
                </c:pt>
              </c:numCache>
            </c:numRef>
          </c:xVal>
          <c:yVal>
            <c:numRef>
              <c:f>'Wykresy zmiennych'!$E$267:$E$284</c:f>
              <c:numCache>
                <c:formatCode>General</c:formatCode>
                <c:ptCount val="18"/>
                <c:pt idx="0">
                  <c:v>15.112929327137579</c:v>
                </c:pt>
                <c:pt idx="1">
                  <c:v>-29.800323816528589</c:v>
                </c:pt>
                <c:pt idx="2">
                  <c:v>1.4837217432818761</c:v>
                </c:pt>
                <c:pt idx="3">
                  <c:v>13.938133087858432</c:v>
                </c:pt>
                <c:pt idx="4">
                  <c:v>6.5630432587346377</c:v>
                </c:pt>
                <c:pt idx="5">
                  <c:v>-46.304536539199944</c:v>
                </c:pt>
                <c:pt idx="6">
                  <c:v>56.813663672806342</c:v>
                </c:pt>
                <c:pt idx="7">
                  <c:v>66.958601519703961</c:v>
                </c:pt>
                <c:pt idx="8">
                  <c:v>-19.49605766853324</c:v>
                </c:pt>
                <c:pt idx="9">
                  <c:v>15.028094063431126</c:v>
                </c:pt>
                <c:pt idx="10">
                  <c:v>-19.564284754657365</c:v>
                </c:pt>
                <c:pt idx="11">
                  <c:v>-46.805951572146569</c:v>
                </c:pt>
                <c:pt idx="12">
                  <c:v>-40.078212038544962</c:v>
                </c:pt>
                <c:pt idx="13">
                  <c:v>2.1551422493660084</c:v>
                </c:pt>
                <c:pt idx="14">
                  <c:v>-24.462196127336711</c:v>
                </c:pt>
                <c:pt idx="15">
                  <c:v>11.987369815502916</c:v>
                </c:pt>
                <c:pt idx="16">
                  <c:v>-3.9096198256468142</c:v>
                </c:pt>
                <c:pt idx="17">
                  <c:v>40.380483604769097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2-483A-A5B1-4069DC80D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070111"/>
        <c:axId val="252070591"/>
      </c:scatterChart>
      <c:valAx>
        <c:axId val="25207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2070591"/>
        <c:crosses val="autoZero"/>
        <c:crossBetween val="midCat"/>
      </c:valAx>
      <c:valAx>
        <c:axId val="252070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5207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630297</xdr:colOff>
      <xdr:row>161</xdr:row>
      <xdr:rowOff>170509</xdr:rowOff>
    </xdr:from>
    <xdr:to>
      <xdr:col>6</xdr:col>
      <xdr:colOff>292806</xdr:colOff>
      <xdr:row>177</xdr:row>
      <xdr:rowOff>19284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34FCAAF-13FB-CC94-972F-0BEFCE0562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30573</xdr:colOff>
      <xdr:row>161</xdr:row>
      <xdr:rowOff>157099</xdr:rowOff>
    </xdr:from>
    <xdr:to>
      <xdr:col>12</xdr:col>
      <xdr:colOff>663221</xdr:colOff>
      <xdr:row>176</xdr:row>
      <xdr:rowOff>166272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5BFC3F4-1E6F-0AE0-936A-E76C380D10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1094785</xdr:colOff>
      <xdr:row>161</xdr:row>
      <xdr:rowOff>51271</xdr:rowOff>
    </xdr:from>
    <xdr:to>
      <xdr:col>17</xdr:col>
      <xdr:colOff>792571</xdr:colOff>
      <xdr:row>176</xdr:row>
      <xdr:rowOff>60442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5E0C0DFF-311E-729E-F99F-200800DC7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59968</xdr:colOff>
      <xdr:row>184</xdr:row>
      <xdr:rowOff>151225</xdr:rowOff>
    </xdr:from>
    <xdr:to>
      <xdr:col>6</xdr:col>
      <xdr:colOff>369236</xdr:colOff>
      <xdr:row>199</xdr:row>
      <xdr:rowOff>160397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4193BEFC-8811-4E38-8BEC-4704C2F90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1230018</xdr:colOff>
      <xdr:row>184</xdr:row>
      <xdr:rowOff>104187</xdr:rowOff>
    </xdr:from>
    <xdr:to>
      <xdr:col>12</xdr:col>
      <xdr:colOff>510351</xdr:colOff>
      <xdr:row>199</xdr:row>
      <xdr:rowOff>113359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F724A918-0D5A-411F-9C62-260CE2EEB9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200025</xdr:colOff>
      <xdr:row>24</xdr:row>
      <xdr:rowOff>157162</xdr:rowOff>
    </xdr:from>
    <xdr:to>
      <xdr:col>17</xdr:col>
      <xdr:colOff>200026</xdr:colOff>
      <xdr:row>33</xdr:row>
      <xdr:rowOff>171450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69C91AD5-DA02-76E1-BCC3-FD99F5C94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200025</xdr:colOff>
      <xdr:row>26</xdr:row>
      <xdr:rowOff>161925</xdr:rowOff>
    </xdr:from>
    <xdr:to>
      <xdr:col>18</xdr:col>
      <xdr:colOff>200026</xdr:colOff>
      <xdr:row>35</xdr:row>
      <xdr:rowOff>171450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FDB4D740-C022-C2E5-CA96-27D6D71EE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200025</xdr:colOff>
      <xdr:row>27</xdr:row>
      <xdr:rowOff>161925</xdr:rowOff>
    </xdr:from>
    <xdr:to>
      <xdr:col>19</xdr:col>
      <xdr:colOff>200025</xdr:colOff>
      <xdr:row>37</xdr:row>
      <xdr:rowOff>176213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71C7A7C6-C665-83DC-0371-B7D2F7DE5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200025</xdr:colOff>
      <xdr:row>29</xdr:row>
      <xdr:rowOff>161925</xdr:rowOff>
    </xdr:from>
    <xdr:to>
      <xdr:col>20</xdr:col>
      <xdr:colOff>200025</xdr:colOff>
      <xdr:row>40</xdr:row>
      <xdr:rowOff>0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A203FE9A-BBA4-0E2F-D378-37B8AF5BF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200025</xdr:colOff>
      <xdr:row>31</xdr:row>
      <xdr:rowOff>166687</xdr:rowOff>
    </xdr:from>
    <xdr:to>
      <xdr:col>21</xdr:col>
      <xdr:colOff>200025</xdr:colOff>
      <xdr:row>42</xdr:row>
      <xdr:rowOff>0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692F9A17-B7CC-88DE-C3E1-CCFC7509DF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783166</xdr:colOff>
      <xdr:row>264</xdr:row>
      <xdr:rowOff>115944</xdr:rowOff>
    </xdr:from>
    <xdr:to>
      <xdr:col>11</xdr:col>
      <xdr:colOff>316324</xdr:colOff>
      <xdr:row>279</xdr:row>
      <xdr:rowOff>119237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6803EB56-ABD0-4141-7BF7-A9B514DAF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acrotrends.net/1470/historical-silver-prices" TargetMode="External"/><Relationship Id="rId1" Type="http://schemas.openxmlformats.org/officeDocument/2006/relationships/hyperlink" Target="https://fred.stlouisfed.org/series/FPCPITOTLZGUS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4A82-151C-43A6-B7F5-1D5B3B86E85F}">
  <dimension ref="A1:K41"/>
  <sheetViews>
    <sheetView topLeftCell="A19" workbookViewId="0">
      <selection activeCell="A23" sqref="A23:F41"/>
    </sheetView>
  </sheetViews>
  <sheetFormatPr defaultRowHeight="14.25" x14ac:dyDescent="0.45"/>
  <cols>
    <col min="7" max="8" width="12" customWidth="1"/>
    <col min="9" max="9" width="11.796875" customWidth="1"/>
    <col min="10" max="10" width="12.59765625" customWidth="1"/>
    <col min="11" max="11" width="15.73046875" customWidth="1"/>
    <col min="12" max="12" width="13.33203125" customWidth="1"/>
    <col min="13" max="13" width="16" customWidth="1"/>
    <col min="14" max="14" width="14.59765625" customWidth="1"/>
  </cols>
  <sheetData>
    <row r="1" spans="1:11" ht="99.75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12</v>
      </c>
      <c r="G1" s="1" t="s">
        <v>6</v>
      </c>
      <c r="H1" s="1" t="s">
        <v>11</v>
      </c>
      <c r="I1" s="1" t="s">
        <v>8</v>
      </c>
      <c r="J1" s="1" t="s">
        <v>9</v>
      </c>
      <c r="K1" s="1" t="s">
        <v>10</v>
      </c>
    </row>
    <row r="2" spans="1:11" x14ac:dyDescent="0.45">
      <c r="A2" s="3">
        <v>363.83</v>
      </c>
      <c r="B2" s="4">
        <v>2.2700949733611502</v>
      </c>
      <c r="C2" s="4">
        <v>1.1299999999999999</v>
      </c>
      <c r="D2" s="4">
        <v>4.01</v>
      </c>
      <c r="E2" s="6">
        <v>4.88</v>
      </c>
      <c r="F2" s="6">
        <v>5.08</v>
      </c>
      <c r="G2" s="6">
        <v>28.85</v>
      </c>
      <c r="H2" s="6">
        <v>27.368110000000005</v>
      </c>
      <c r="I2" s="5">
        <v>22.221587301587299</v>
      </c>
      <c r="J2" s="7">
        <v>95.915612648221341</v>
      </c>
      <c r="K2" s="9">
        <v>39</v>
      </c>
    </row>
    <row r="3" spans="1:11" x14ac:dyDescent="0.45">
      <c r="A3" s="3">
        <v>409.53</v>
      </c>
      <c r="B3" s="4">
        <v>2.6772366930917202</v>
      </c>
      <c r="C3" s="4">
        <v>1.35</v>
      </c>
      <c r="D3" s="4">
        <v>4.2699999999999996</v>
      </c>
      <c r="E3" s="6">
        <v>6.68</v>
      </c>
      <c r="F3" s="6">
        <v>8.0299999999999994</v>
      </c>
      <c r="G3" s="6">
        <v>38.26</v>
      </c>
      <c r="H3" s="6">
        <v>26.96921</v>
      </c>
      <c r="I3" s="5">
        <v>15.639802371541499</v>
      </c>
      <c r="J3" s="7">
        <v>87.531019685039368</v>
      </c>
      <c r="K3" s="9">
        <v>133</v>
      </c>
    </row>
    <row r="4" spans="1:11" x14ac:dyDescent="0.45">
      <c r="A4" s="3">
        <v>444.99</v>
      </c>
      <c r="B4" s="4">
        <v>3.3927468454955001</v>
      </c>
      <c r="C4" s="4">
        <v>3.2199999999999998</v>
      </c>
      <c r="D4" s="4">
        <v>4.29</v>
      </c>
      <c r="E4" s="6">
        <v>7.31</v>
      </c>
      <c r="F4" s="6">
        <v>10.16</v>
      </c>
      <c r="G4" s="6">
        <v>54.57</v>
      </c>
      <c r="H4" s="6">
        <v>26.436130000000002</v>
      </c>
      <c r="I4" s="5">
        <v>12.855158730158729</v>
      </c>
      <c r="J4" s="7">
        <v>87.145976470588238</v>
      </c>
      <c r="K4" s="9">
        <v>208</v>
      </c>
    </row>
    <row r="5" spans="1:11" x14ac:dyDescent="0.45">
      <c r="A5" s="3">
        <v>604.34</v>
      </c>
      <c r="B5" s="4">
        <v>3.2259441007040395</v>
      </c>
      <c r="C5" s="4">
        <v>4.97</v>
      </c>
      <c r="D5" s="4">
        <v>4.8</v>
      </c>
      <c r="E5" s="6">
        <v>11.56</v>
      </c>
      <c r="F5" s="6">
        <v>19.12</v>
      </c>
      <c r="G5" s="6">
        <v>65.16</v>
      </c>
      <c r="H5" s="6">
        <v>26.163239999999995</v>
      </c>
      <c r="I5" s="5">
        <v>12.996812749003981</v>
      </c>
      <c r="J5" s="7">
        <v>86.423519999999996</v>
      </c>
      <c r="K5" s="9">
        <v>260</v>
      </c>
    </row>
    <row r="6" spans="1:11" x14ac:dyDescent="0.45">
      <c r="A6" s="3">
        <v>696.43</v>
      </c>
      <c r="B6" s="4">
        <v>2.8526724815013802</v>
      </c>
      <c r="C6" s="4">
        <v>5.0199999999999996</v>
      </c>
      <c r="D6" s="4">
        <v>4.63</v>
      </c>
      <c r="E6" s="6">
        <v>13.36</v>
      </c>
      <c r="F6" s="6">
        <v>20.200000000000003</v>
      </c>
      <c r="G6" s="6">
        <v>72.44</v>
      </c>
      <c r="H6" s="6">
        <v>25.77122</v>
      </c>
      <c r="I6" s="5">
        <v>17.590039840637449</v>
      </c>
      <c r="J6" s="7">
        <v>80.78503543307086</v>
      </c>
      <c r="K6" s="9">
        <v>253</v>
      </c>
    </row>
    <row r="7" spans="1:11" x14ac:dyDescent="0.45">
      <c r="A7" s="3">
        <v>872.37</v>
      </c>
      <c r="B7" s="4">
        <v>3.8391002966509999</v>
      </c>
      <c r="C7" s="4">
        <v>1.92</v>
      </c>
      <c r="D7" s="4">
        <v>3.66</v>
      </c>
      <c r="E7" s="6">
        <v>14.97</v>
      </c>
      <c r="F7" s="6">
        <v>19.470000000000002</v>
      </c>
      <c r="G7" s="6">
        <v>96.94</v>
      </c>
      <c r="H7" s="6">
        <v>25.809720000000006</v>
      </c>
      <c r="I7" s="5">
        <v>32.822213438735183</v>
      </c>
      <c r="J7" s="7">
        <v>77.025200772200776</v>
      </c>
      <c r="K7" s="9">
        <v>321</v>
      </c>
    </row>
    <row r="8" spans="1:11" x14ac:dyDescent="0.45">
      <c r="A8" s="3">
        <v>973.66</v>
      </c>
      <c r="B8" s="4">
        <v>-0.355546266299747</v>
      </c>
      <c r="C8" s="4">
        <v>0.16</v>
      </c>
      <c r="D8" s="4">
        <v>3.26</v>
      </c>
      <c r="E8" s="6">
        <v>14.69</v>
      </c>
      <c r="F8" s="6">
        <v>14.829999999999998</v>
      </c>
      <c r="G8" s="6">
        <v>61.74</v>
      </c>
      <c r="H8" s="6">
        <v>26.549669999999999</v>
      </c>
      <c r="I8" s="5">
        <v>31.74404761904762</v>
      </c>
      <c r="J8" s="7">
        <v>80.791648648648646</v>
      </c>
      <c r="K8" s="9">
        <v>646</v>
      </c>
    </row>
    <row r="9" spans="1:11" x14ac:dyDescent="0.45">
      <c r="A9" s="3">
        <v>1226.6600000000001</v>
      </c>
      <c r="B9" s="4">
        <v>1.6400434423899002</v>
      </c>
      <c r="C9" s="4">
        <v>0.18</v>
      </c>
      <c r="D9" s="4">
        <v>3.2199999999999998</v>
      </c>
      <c r="E9" s="6">
        <v>20.21</v>
      </c>
      <c r="F9" s="6">
        <v>21.48</v>
      </c>
      <c r="G9" s="6">
        <v>79.61</v>
      </c>
      <c r="H9" s="6">
        <v>26.715580000000003</v>
      </c>
      <c r="I9" s="5">
        <v>22.726587301587301</v>
      </c>
      <c r="J9" s="7">
        <v>81.353321839080465</v>
      </c>
      <c r="K9" s="9">
        <v>367</v>
      </c>
    </row>
    <row r="10" spans="1:11" x14ac:dyDescent="0.45">
      <c r="A10" s="3">
        <v>1573.16</v>
      </c>
      <c r="B10" s="4">
        <v>3.1568415686220002</v>
      </c>
      <c r="C10" s="4">
        <v>0.1</v>
      </c>
      <c r="D10" s="4">
        <v>2.78</v>
      </c>
      <c r="E10" s="6">
        <v>35.29</v>
      </c>
      <c r="F10" s="6">
        <v>25.019999999999996</v>
      </c>
      <c r="G10" s="6">
        <v>111.26</v>
      </c>
      <c r="H10" s="6">
        <v>27.015050000000009</v>
      </c>
      <c r="I10" s="5">
        <v>24.272500000000001</v>
      </c>
      <c r="J10" s="7">
        <v>76.69775769230769</v>
      </c>
      <c r="K10" s="9">
        <v>154</v>
      </c>
    </row>
    <row r="11" spans="1:11" x14ac:dyDescent="0.45">
      <c r="A11" s="3">
        <v>1668.86</v>
      </c>
      <c r="B11" s="4">
        <v>2.0693372652606699</v>
      </c>
      <c r="C11" s="4">
        <v>0.14000000000000001</v>
      </c>
      <c r="D11" s="4">
        <v>1.8000000000000003</v>
      </c>
      <c r="E11" s="6">
        <v>31.18</v>
      </c>
      <c r="F11" s="6">
        <v>22.56</v>
      </c>
      <c r="G11" s="6">
        <v>111.57</v>
      </c>
      <c r="H11" s="6">
        <v>27.289280000000012</v>
      </c>
      <c r="I11" s="5">
        <v>17.929639999999999</v>
      </c>
      <c r="J11" s="7">
        <v>80.675657692307695</v>
      </c>
      <c r="K11" s="9">
        <v>279</v>
      </c>
    </row>
    <row r="12" spans="1:11" x14ac:dyDescent="0.45">
      <c r="A12" s="3">
        <v>1409.51</v>
      </c>
      <c r="B12" s="4">
        <v>1.46483265562717</v>
      </c>
      <c r="C12" s="4">
        <v>0.09</v>
      </c>
      <c r="D12" s="4">
        <v>2.35</v>
      </c>
      <c r="E12" s="6">
        <v>23.85</v>
      </c>
      <c r="F12" s="6">
        <v>20.87</v>
      </c>
      <c r="G12" s="6">
        <v>108.56</v>
      </c>
      <c r="H12" s="6">
        <v>27.473070000000007</v>
      </c>
      <c r="I12" s="5">
        <v>14.29480158730159</v>
      </c>
      <c r="J12" s="7">
        <v>81.523255813953483</v>
      </c>
      <c r="K12" s="9">
        <v>-880</v>
      </c>
    </row>
    <row r="13" spans="1:11" x14ac:dyDescent="0.45">
      <c r="A13" s="3">
        <v>1266.06</v>
      </c>
      <c r="B13" s="4">
        <v>1.62222297740817</v>
      </c>
      <c r="C13" s="4">
        <v>0.09</v>
      </c>
      <c r="D13" s="4">
        <v>2.54</v>
      </c>
      <c r="E13" s="6">
        <v>19.079999999999998</v>
      </c>
      <c r="F13" s="6">
        <v>19.41</v>
      </c>
      <c r="G13" s="6">
        <v>98.97</v>
      </c>
      <c r="H13" s="6">
        <v>27.720430000000004</v>
      </c>
      <c r="I13" s="5">
        <v>14.226825396825401</v>
      </c>
      <c r="J13" s="7">
        <v>82.642864864864862</v>
      </c>
      <c r="K13" s="9">
        <v>-160</v>
      </c>
    </row>
    <row r="14" spans="1:11" x14ac:dyDescent="0.45">
      <c r="A14" s="3">
        <v>1158.8599999999999</v>
      </c>
      <c r="B14" s="4">
        <v>0.118627135552451</v>
      </c>
      <c r="C14" s="4">
        <v>0.13</v>
      </c>
      <c r="D14" s="4">
        <v>2.14</v>
      </c>
      <c r="E14" s="6">
        <v>15.71</v>
      </c>
      <c r="F14" s="6">
        <v>15.6</v>
      </c>
      <c r="G14" s="6">
        <v>53.03</v>
      </c>
      <c r="H14" s="6">
        <v>28.601160000000007</v>
      </c>
      <c r="I14" s="5">
        <v>16.707698412698409</v>
      </c>
      <c r="J14" s="7">
        <v>96.590656370656376</v>
      </c>
      <c r="K14" s="9">
        <v>-133</v>
      </c>
    </row>
    <row r="15" spans="1:11" x14ac:dyDescent="0.45">
      <c r="A15" s="3">
        <v>1251.92</v>
      </c>
      <c r="B15" s="4">
        <v>1.26158320570536</v>
      </c>
      <c r="C15" s="4">
        <v>0.39</v>
      </c>
      <c r="D15" s="4">
        <v>1.8399999999999999</v>
      </c>
      <c r="E15" s="6">
        <v>17.14</v>
      </c>
      <c r="F15" s="6">
        <v>13.76</v>
      </c>
      <c r="G15" s="6">
        <v>45.13</v>
      </c>
      <c r="H15" s="6">
        <v>28.826500000000006</v>
      </c>
      <c r="I15" s="5">
        <v>16.01365079365079</v>
      </c>
      <c r="J15" s="7">
        <v>96.885158914728677</v>
      </c>
      <c r="K15" s="9">
        <v>540</v>
      </c>
    </row>
    <row r="16" spans="1:11" x14ac:dyDescent="0.45">
      <c r="A16" s="3">
        <v>1260.3900000000001</v>
      </c>
      <c r="B16" s="4">
        <v>2.1301100036596101</v>
      </c>
      <c r="C16" s="4">
        <v>1</v>
      </c>
      <c r="D16" s="4">
        <v>2.33</v>
      </c>
      <c r="E16" s="6">
        <v>17.07</v>
      </c>
      <c r="F16" s="6">
        <v>17.580000000000002</v>
      </c>
      <c r="G16" s="6">
        <v>54.71</v>
      </c>
      <c r="H16" s="6">
        <v>29.157740000000015</v>
      </c>
      <c r="I16" s="5">
        <v>11.139083665338649</v>
      </c>
      <c r="J16" s="7">
        <v>96.38869260700389</v>
      </c>
      <c r="K16" s="9">
        <v>202</v>
      </c>
    </row>
    <row r="17" spans="1:11" x14ac:dyDescent="0.45">
      <c r="A17" s="3">
        <v>1268.93</v>
      </c>
      <c r="B17" s="4">
        <v>2.44258329692817</v>
      </c>
      <c r="C17" s="4">
        <v>1.83</v>
      </c>
      <c r="D17" s="4">
        <v>2.91</v>
      </c>
      <c r="E17" s="6">
        <v>15.71</v>
      </c>
      <c r="F17" s="6">
        <v>18.329999999999998</v>
      </c>
      <c r="G17" s="6">
        <v>71.34</v>
      </c>
      <c r="H17" s="6">
        <v>29.643969999999999</v>
      </c>
      <c r="I17" s="5">
        <v>16.62741035856574</v>
      </c>
      <c r="J17" s="7">
        <v>93.402437984496117</v>
      </c>
      <c r="K17" s="9">
        <v>68</v>
      </c>
    </row>
    <row r="18" spans="1:11" x14ac:dyDescent="0.45">
      <c r="A18" s="3">
        <v>1393.34</v>
      </c>
      <c r="B18" s="4">
        <v>1.8122100752602102</v>
      </c>
      <c r="C18" s="4">
        <v>2.16</v>
      </c>
      <c r="D18" s="4">
        <v>2.14</v>
      </c>
      <c r="E18" s="6">
        <v>16.22</v>
      </c>
      <c r="F18" s="6">
        <v>17.010000000000002</v>
      </c>
      <c r="G18" s="6">
        <v>64.28</v>
      </c>
      <c r="H18" s="6">
        <v>30.23465000000003</v>
      </c>
      <c r="I18" s="5">
        <v>15.56261904761905</v>
      </c>
      <c r="J18" s="7">
        <v>97.158903100775191</v>
      </c>
      <c r="K18" s="9">
        <v>401</v>
      </c>
    </row>
    <row r="19" spans="1:11" x14ac:dyDescent="0.45">
      <c r="A19" s="3">
        <v>1773.73</v>
      </c>
      <c r="B19" s="4">
        <v>1.23358439630629</v>
      </c>
      <c r="C19" s="4">
        <v>0.37</v>
      </c>
      <c r="D19" s="4">
        <v>0.89</v>
      </c>
      <c r="E19" s="6">
        <v>20.69</v>
      </c>
      <c r="F19" s="6">
        <v>17.510000000000002</v>
      </c>
      <c r="G19" s="6">
        <v>41.96</v>
      </c>
      <c r="H19" s="6">
        <v>30.380080000000014</v>
      </c>
      <c r="I19" s="5">
        <v>29.47604743083004</v>
      </c>
      <c r="J19" s="8">
        <v>95.35642</v>
      </c>
      <c r="K19" s="9">
        <v>877</v>
      </c>
    </row>
    <row r="23" spans="1:11" ht="99.75" x14ac:dyDescent="0.45">
      <c r="A23" s="1" t="s">
        <v>0</v>
      </c>
      <c r="B23" s="1" t="s">
        <v>4</v>
      </c>
      <c r="C23" s="1" t="s">
        <v>12</v>
      </c>
      <c r="D23" s="1" t="s">
        <v>11</v>
      </c>
      <c r="E23" s="1" t="s">
        <v>9</v>
      </c>
      <c r="F23" s="2" t="s">
        <v>3</v>
      </c>
    </row>
    <row r="24" spans="1:11" x14ac:dyDescent="0.45">
      <c r="A24" s="3">
        <v>363.83</v>
      </c>
      <c r="B24" s="6">
        <v>4.88</v>
      </c>
      <c r="C24" s="6">
        <v>5.08</v>
      </c>
      <c r="D24" s="6">
        <v>27.368110000000005</v>
      </c>
      <c r="E24" s="7">
        <v>95.915612648221341</v>
      </c>
      <c r="F24" s="4">
        <v>4.01</v>
      </c>
    </row>
    <row r="25" spans="1:11" x14ac:dyDescent="0.45">
      <c r="A25" s="3">
        <v>409.53</v>
      </c>
      <c r="B25" s="6">
        <v>6.68</v>
      </c>
      <c r="C25" s="6">
        <v>8.0299999999999994</v>
      </c>
      <c r="D25" s="6">
        <v>26.96921</v>
      </c>
      <c r="E25" s="7">
        <v>87.531019685039368</v>
      </c>
      <c r="F25" s="4">
        <v>4.2699999999999996</v>
      </c>
    </row>
    <row r="26" spans="1:11" x14ac:dyDescent="0.45">
      <c r="A26" s="3">
        <v>444.99</v>
      </c>
      <c r="B26" s="6">
        <v>7.31</v>
      </c>
      <c r="C26" s="6">
        <v>10.16</v>
      </c>
      <c r="D26" s="6">
        <v>26.436130000000002</v>
      </c>
      <c r="E26" s="7">
        <v>87.145976470588238</v>
      </c>
      <c r="F26" s="4">
        <v>4.29</v>
      </c>
    </row>
    <row r="27" spans="1:11" x14ac:dyDescent="0.45">
      <c r="A27" s="3">
        <v>604.34</v>
      </c>
      <c r="B27" s="6">
        <v>11.56</v>
      </c>
      <c r="C27" s="6">
        <v>19.12</v>
      </c>
      <c r="D27" s="6">
        <v>26.163239999999995</v>
      </c>
      <c r="E27" s="7">
        <v>86.423519999999996</v>
      </c>
      <c r="F27" s="4">
        <v>4.8</v>
      </c>
    </row>
    <row r="28" spans="1:11" x14ac:dyDescent="0.45">
      <c r="A28" s="3">
        <v>696.43</v>
      </c>
      <c r="B28" s="6">
        <v>13.36</v>
      </c>
      <c r="C28" s="6">
        <v>20.200000000000003</v>
      </c>
      <c r="D28" s="6">
        <v>25.77122</v>
      </c>
      <c r="E28" s="7">
        <v>80.78503543307086</v>
      </c>
      <c r="F28" s="4">
        <v>4.63</v>
      </c>
    </row>
    <row r="29" spans="1:11" x14ac:dyDescent="0.45">
      <c r="A29" s="3">
        <v>872.37</v>
      </c>
      <c r="B29" s="6">
        <v>14.97</v>
      </c>
      <c r="C29" s="6">
        <v>19.470000000000002</v>
      </c>
      <c r="D29" s="6">
        <v>25.809720000000006</v>
      </c>
      <c r="E29" s="7">
        <v>77.025200772200776</v>
      </c>
      <c r="F29" s="4">
        <v>3.66</v>
      </c>
    </row>
    <row r="30" spans="1:11" x14ac:dyDescent="0.45">
      <c r="A30" s="3">
        <v>973.66</v>
      </c>
      <c r="B30" s="6">
        <v>14.69</v>
      </c>
      <c r="C30" s="6">
        <v>14.829999999999998</v>
      </c>
      <c r="D30" s="6">
        <v>26.549669999999999</v>
      </c>
      <c r="E30" s="7">
        <v>80.791648648648646</v>
      </c>
      <c r="F30" s="4">
        <v>3.26</v>
      </c>
    </row>
    <row r="31" spans="1:11" x14ac:dyDescent="0.45">
      <c r="A31" s="3">
        <v>1226.6600000000001</v>
      </c>
      <c r="B31" s="6">
        <v>20.21</v>
      </c>
      <c r="C31" s="6">
        <v>21.48</v>
      </c>
      <c r="D31" s="6">
        <v>26.715580000000003</v>
      </c>
      <c r="E31" s="7">
        <v>81.353321839080465</v>
      </c>
      <c r="F31" s="4">
        <v>3.2199999999999998</v>
      </c>
    </row>
    <row r="32" spans="1:11" x14ac:dyDescent="0.45">
      <c r="A32" s="3">
        <v>1573.16</v>
      </c>
      <c r="B32" s="6">
        <v>35.29</v>
      </c>
      <c r="C32" s="6">
        <v>25.019999999999996</v>
      </c>
      <c r="D32" s="6">
        <v>27.015050000000009</v>
      </c>
      <c r="E32" s="7">
        <v>76.69775769230769</v>
      </c>
      <c r="F32" s="4">
        <v>2.78</v>
      </c>
    </row>
    <row r="33" spans="1:6" x14ac:dyDescent="0.45">
      <c r="A33" s="3">
        <v>1668.86</v>
      </c>
      <c r="B33" s="6">
        <v>31.18</v>
      </c>
      <c r="C33" s="6">
        <v>22.56</v>
      </c>
      <c r="D33" s="6">
        <v>27.289280000000012</v>
      </c>
      <c r="E33" s="7">
        <v>80.675657692307695</v>
      </c>
      <c r="F33" s="4">
        <v>1.8000000000000003</v>
      </c>
    </row>
    <row r="34" spans="1:6" x14ac:dyDescent="0.45">
      <c r="A34" s="3">
        <v>1409.51</v>
      </c>
      <c r="B34" s="6">
        <v>23.85</v>
      </c>
      <c r="C34" s="6">
        <v>20.87</v>
      </c>
      <c r="D34" s="6">
        <v>27.473070000000007</v>
      </c>
      <c r="E34" s="7">
        <v>81.523255813953483</v>
      </c>
      <c r="F34" s="4">
        <v>2.35</v>
      </c>
    </row>
    <row r="35" spans="1:6" x14ac:dyDescent="0.45">
      <c r="A35" s="3">
        <v>1266.06</v>
      </c>
      <c r="B35" s="6">
        <v>19.079999999999998</v>
      </c>
      <c r="C35" s="6">
        <v>19.41</v>
      </c>
      <c r="D35" s="6">
        <v>27.720430000000004</v>
      </c>
      <c r="E35" s="7">
        <v>82.642864864864862</v>
      </c>
      <c r="F35" s="4">
        <v>2.54</v>
      </c>
    </row>
    <row r="36" spans="1:6" x14ac:dyDescent="0.45">
      <c r="A36" s="3">
        <v>1158.8599999999999</v>
      </c>
      <c r="B36" s="6">
        <v>15.71</v>
      </c>
      <c r="C36" s="6">
        <v>15.6</v>
      </c>
      <c r="D36" s="6">
        <v>28.601160000000007</v>
      </c>
      <c r="E36" s="7">
        <v>96.590656370656376</v>
      </c>
      <c r="F36" s="4">
        <v>2.14</v>
      </c>
    </row>
    <row r="37" spans="1:6" x14ac:dyDescent="0.45">
      <c r="A37" s="3">
        <v>1251.92</v>
      </c>
      <c r="B37" s="6">
        <v>17.14</v>
      </c>
      <c r="C37" s="6">
        <v>13.76</v>
      </c>
      <c r="D37" s="6">
        <v>28.826500000000006</v>
      </c>
      <c r="E37" s="7">
        <v>96.885158914728677</v>
      </c>
      <c r="F37" s="4">
        <v>1.8399999999999999</v>
      </c>
    </row>
    <row r="38" spans="1:6" x14ac:dyDescent="0.45">
      <c r="A38" s="3">
        <v>1260.3900000000001</v>
      </c>
      <c r="B38" s="6">
        <v>17.07</v>
      </c>
      <c r="C38" s="6">
        <v>17.580000000000002</v>
      </c>
      <c r="D38" s="6">
        <v>29.157740000000015</v>
      </c>
      <c r="E38" s="7">
        <v>96.38869260700389</v>
      </c>
      <c r="F38" s="4">
        <v>2.33</v>
      </c>
    </row>
    <row r="39" spans="1:6" x14ac:dyDescent="0.45">
      <c r="A39" s="3">
        <v>1268.93</v>
      </c>
      <c r="B39" s="6">
        <v>15.71</v>
      </c>
      <c r="C39" s="6">
        <v>18.329999999999998</v>
      </c>
      <c r="D39" s="6">
        <v>29.643969999999999</v>
      </c>
      <c r="E39" s="7">
        <v>93.402437984496117</v>
      </c>
      <c r="F39" s="4">
        <v>2.91</v>
      </c>
    </row>
    <row r="40" spans="1:6" x14ac:dyDescent="0.45">
      <c r="A40" s="3">
        <v>1393.34</v>
      </c>
      <c r="B40" s="6">
        <v>16.22</v>
      </c>
      <c r="C40" s="6">
        <v>17.010000000000002</v>
      </c>
      <c r="D40" s="6">
        <v>30.23465000000003</v>
      </c>
      <c r="E40" s="7">
        <v>97.158903100775191</v>
      </c>
      <c r="F40" s="4">
        <v>2.14</v>
      </c>
    </row>
    <row r="41" spans="1:6" x14ac:dyDescent="0.45">
      <c r="A41" s="3">
        <v>1773.73</v>
      </c>
      <c r="B41" s="6">
        <v>20.69</v>
      </c>
      <c r="C41" s="6">
        <v>17.510000000000002</v>
      </c>
      <c r="D41" s="6">
        <v>30.380080000000014</v>
      </c>
      <c r="E41" s="8">
        <v>95.35642</v>
      </c>
      <c r="F41" s="4">
        <v>0.89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C765-0D96-4817-A2CA-9AA0DB44F7B1}">
  <dimension ref="A1:T284"/>
  <sheetViews>
    <sheetView tabSelected="1" topLeftCell="C123" zoomScale="81" zoomScaleNormal="81" workbookViewId="0">
      <selection activeCell="J141" sqref="J141"/>
    </sheetView>
  </sheetViews>
  <sheetFormatPr defaultRowHeight="14.25" x14ac:dyDescent="0.45"/>
  <cols>
    <col min="4" max="4" width="19.796875" customWidth="1"/>
    <col min="5" max="5" width="17.19921875" customWidth="1"/>
    <col min="6" max="6" width="13.59765625" customWidth="1"/>
    <col min="7" max="7" width="14.6640625" customWidth="1"/>
    <col min="8" max="8" width="18.9296875" customWidth="1"/>
    <col min="9" max="9" width="20" customWidth="1"/>
    <col min="10" max="10" width="22.53125" customWidth="1"/>
    <col min="12" max="12" width="15.06640625" customWidth="1"/>
    <col min="13" max="13" width="15.86328125" customWidth="1"/>
    <col min="14" max="14" width="17" customWidth="1"/>
    <col min="15" max="15" width="17.1328125" customWidth="1"/>
    <col min="16" max="16" width="17.86328125" customWidth="1"/>
    <col min="17" max="17" width="16.19921875" customWidth="1"/>
    <col min="18" max="18" width="16.3984375" customWidth="1"/>
    <col min="19" max="19" width="16.73046875" customWidth="1"/>
  </cols>
  <sheetData>
    <row r="1" spans="3:8" x14ac:dyDescent="0.45">
      <c r="C1" t="s">
        <v>37</v>
      </c>
      <c r="D1" t="s">
        <v>38</v>
      </c>
      <c r="E1" t="s">
        <v>39</v>
      </c>
      <c r="F1" t="s">
        <v>42</v>
      </c>
      <c r="G1" t="s">
        <v>40</v>
      </c>
      <c r="H1" t="s">
        <v>41</v>
      </c>
    </row>
    <row r="2" spans="3:8" ht="57" x14ac:dyDescent="0.45">
      <c r="C2" s="13" t="s">
        <v>0</v>
      </c>
      <c r="D2" s="13" t="s">
        <v>4</v>
      </c>
      <c r="E2" s="13" t="s">
        <v>12</v>
      </c>
      <c r="F2" s="13" t="s">
        <v>11</v>
      </c>
      <c r="G2" s="1" t="s">
        <v>9</v>
      </c>
      <c r="H2" s="13" t="s">
        <v>3</v>
      </c>
    </row>
    <row r="3" spans="3:8" x14ac:dyDescent="0.45">
      <c r="C3" s="14">
        <v>363.83</v>
      </c>
      <c r="D3" s="15">
        <v>4.88</v>
      </c>
      <c r="E3" s="15">
        <v>5.08</v>
      </c>
      <c r="F3" s="15">
        <v>27.368110000000005</v>
      </c>
      <c r="G3" s="7">
        <v>95.915612648221341</v>
      </c>
      <c r="H3" s="4">
        <v>4.01</v>
      </c>
    </row>
    <row r="4" spans="3:8" x14ac:dyDescent="0.45">
      <c r="C4" s="14">
        <v>409.53</v>
      </c>
      <c r="D4" s="15">
        <v>6.68</v>
      </c>
      <c r="E4" s="15">
        <v>8.0299999999999994</v>
      </c>
      <c r="F4" s="15">
        <v>26.96921</v>
      </c>
      <c r="G4" s="7">
        <v>87.531019685039368</v>
      </c>
      <c r="H4" s="4">
        <v>4.2699999999999996</v>
      </c>
    </row>
    <row r="5" spans="3:8" x14ac:dyDescent="0.45">
      <c r="C5" s="14">
        <v>444.99</v>
      </c>
      <c r="D5" s="15">
        <v>7.31</v>
      </c>
      <c r="E5" s="15">
        <v>10.16</v>
      </c>
      <c r="F5" s="15">
        <v>26.436130000000002</v>
      </c>
      <c r="G5" s="7">
        <v>87.145976470588238</v>
      </c>
      <c r="H5" s="4">
        <v>4.29</v>
      </c>
    </row>
    <row r="6" spans="3:8" x14ac:dyDescent="0.45">
      <c r="C6" s="14">
        <v>604.34</v>
      </c>
      <c r="D6" s="15">
        <v>11.56</v>
      </c>
      <c r="E6" s="15">
        <v>19.12</v>
      </c>
      <c r="F6" s="15">
        <v>26.163239999999995</v>
      </c>
      <c r="G6" s="7">
        <v>86.423519999999996</v>
      </c>
      <c r="H6" s="4">
        <v>4.8</v>
      </c>
    </row>
    <row r="7" spans="3:8" x14ac:dyDescent="0.45">
      <c r="C7" s="14">
        <v>696.43</v>
      </c>
      <c r="D7" s="15">
        <v>13.36</v>
      </c>
      <c r="E7" s="15">
        <v>20.200000000000003</v>
      </c>
      <c r="F7" s="15">
        <v>25.77122</v>
      </c>
      <c r="G7" s="7">
        <v>80.78503543307086</v>
      </c>
      <c r="H7" s="4">
        <v>4.63</v>
      </c>
    </row>
    <row r="8" spans="3:8" x14ac:dyDescent="0.45">
      <c r="C8" s="14">
        <v>872.37</v>
      </c>
      <c r="D8" s="15">
        <v>14.97</v>
      </c>
      <c r="E8" s="15">
        <v>19.470000000000002</v>
      </c>
      <c r="F8" s="15">
        <v>25.809720000000006</v>
      </c>
      <c r="G8" s="7">
        <v>77.025200772200776</v>
      </c>
      <c r="H8" s="4">
        <v>3.66</v>
      </c>
    </row>
    <row r="9" spans="3:8" x14ac:dyDescent="0.45">
      <c r="C9" s="14">
        <v>973.66</v>
      </c>
      <c r="D9" s="15">
        <v>14.69</v>
      </c>
      <c r="E9" s="15">
        <v>14.829999999999998</v>
      </c>
      <c r="F9" s="15">
        <v>26.549669999999999</v>
      </c>
      <c r="G9" s="7">
        <v>80.791648648648646</v>
      </c>
      <c r="H9" s="4">
        <v>3.26</v>
      </c>
    </row>
    <row r="10" spans="3:8" x14ac:dyDescent="0.45">
      <c r="C10" s="14">
        <v>1226.6600000000001</v>
      </c>
      <c r="D10" s="15">
        <v>20.21</v>
      </c>
      <c r="E10" s="15">
        <v>21.48</v>
      </c>
      <c r="F10" s="15">
        <v>26.715580000000003</v>
      </c>
      <c r="G10" s="7">
        <v>81.353321839080465</v>
      </c>
      <c r="H10" s="4">
        <v>3.2199999999999998</v>
      </c>
    </row>
    <row r="11" spans="3:8" x14ac:dyDescent="0.45">
      <c r="C11" s="14">
        <v>1573.16</v>
      </c>
      <c r="D11" s="15">
        <v>35.29</v>
      </c>
      <c r="E11" s="15">
        <v>25.019999999999996</v>
      </c>
      <c r="F11" s="15">
        <v>27.015050000000009</v>
      </c>
      <c r="G11" s="7">
        <v>76.69775769230769</v>
      </c>
      <c r="H11" s="4">
        <v>2.78</v>
      </c>
    </row>
    <row r="12" spans="3:8" x14ac:dyDescent="0.45">
      <c r="C12" s="14">
        <v>1668.86</v>
      </c>
      <c r="D12" s="15">
        <v>31.18</v>
      </c>
      <c r="E12" s="15">
        <v>22.56</v>
      </c>
      <c r="F12" s="15">
        <v>27.289280000000012</v>
      </c>
      <c r="G12" s="7">
        <v>80.675657692307695</v>
      </c>
      <c r="H12" s="4">
        <v>1.8000000000000003</v>
      </c>
    </row>
    <row r="13" spans="3:8" x14ac:dyDescent="0.45">
      <c r="C13" s="14">
        <v>1409.51</v>
      </c>
      <c r="D13" s="15">
        <v>23.85</v>
      </c>
      <c r="E13" s="15">
        <v>20.87</v>
      </c>
      <c r="F13" s="15">
        <v>27.473070000000007</v>
      </c>
      <c r="G13" s="7">
        <v>81.523255813953483</v>
      </c>
      <c r="H13" s="4">
        <v>2.35</v>
      </c>
    </row>
    <row r="14" spans="3:8" x14ac:dyDescent="0.45">
      <c r="C14" s="14">
        <v>1266.06</v>
      </c>
      <c r="D14" s="15">
        <v>19.079999999999998</v>
      </c>
      <c r="E14" s="15">
        <v>19.41</v>
      </c>
      <c r="F14" s="15">
        <v>27.720430000000004</v>
      </c>
      <c r="G14" s="7">
        <v>82.642864864864862</v>
      </c>
      <c r="H14" s="4">
        <v>2.54</v>
      </c>
    </row>
    <row r="15" spans="3:8" x14ac:dyDescent="0.45">
      <c r="C15" s="14">
        <v>1158.8599999999999</v>
      </c>
      <c r="D15" s="15">
        <v>15.71</v>
      </c>
      <c r="E15" s="15">
        <v>15.6</v>
      </c>
      <c r="F15" s="15">
        <v>28.601160000000007</v>
      </c>
      <c r="G15" s="7">
        <v>96.590656370656376</v>
      </c>
      <c r="H15" s="4">
        <v>2.14</v>
      </c>
    </row>
    <row r="16" spans="3:8" x14ac:dyDescent="0.45">
      <c r="C16" s="14">
        <v>1251.92</v>
      </c>
      <c r="D16" s="15">
        <v>17.14</v>
      </c>
      <c r="E16" s="15">
        <v>13.76</v>
      </c>
      <c r="F16" s="15">
        <v>28.826500000000006</v>
      </c>
      <c r="G16" s="7">
        <v>96.885158914728677</v>
      </c>
      <c r="H16" s="4">
        <v>1.8399999999999999</v>
      </c>
    </row>
    <row r="17" spans="3:20" x14ac:dyDescent="0.45">
      <c r="C17" s="14">
        <v>1260.3900000000001</v>
      </c>
      <c r="D17" s="15">
        <v>17.07</v>
      </c>
      <c r="E17" s="15">
        <v>17.580000000000002</v>
      </c>
      <c r="F17" s="15">
        <v>29.157740000000015</v>
      </c>
      <c r="G17" s="7">
        <v>96.38869260700389</v>
      </c>
      <c r="H17" s="4">
        <v>2.33</v>
      </c>
    </row>
    <row r="18" spans="3:20" x14ac:dyDescent="0.45">
      <c r="C18" s="14">
        <v>1268.93</v>
      </c>
      <c r="D18" s="15">
        <v>15.71</v>
      </c>
      <c r="E18" s="15">
        <v>18.329999999999998</v>
      </c>
      <c r="F18" s="15">
        <v>29.643969999999999</v>
      </c>
      <c r="G18" s="7">
        <v>93.402437984496117</v>
      </c>
      <c r="H18" s="4">
        <v>2.91</v>
      </c>
    </row>
    <row r="19" spans="3:20" x14ac:dyDescent="0.45">
      <c r="C19" s="14">
        <v>1393.34</v>
      </c>
      <c r="D19" s="15">
        <v>16.22</v>
      </c>
      <c r="E19" s="15">
        <v>17.010000000000002</v>
      </c>
      <c r="F19" s="15">
        <v>30.23465000000003</v>
      </c>
      <c r="G19" s="7">
        <v>97.158903100775191</v>
      </c>
      <c r="H19" s="4">
        <v>2.14</v>
      </c>
    </row>
    <row r="20" spans="3:20" x14ac:dyDescent="0.45">
      <c r="C20" s="14">
        <v>1773.73</v>
      </c>
      <c r="D20" s="15">
        <v>20.69</v>
      </c>
      <c r="E20" s="15">
        <v>17.510000000000002</v>
      </c>
      <c r="F20" s="15">
        <v>30.380080000000014</v>
      </c>
      <c r="G20" s="8">
        <v>95.35642</v>
      </c>
      <c r="H20" s="4">
        <v>0.89</v>
      </c>
    </row>
    <row r="21" spans="3:20" x14ac:dyDescent="0.45">
      <c r="C21" s="3"/>
      <c r="D21" s="4"/>
      <c r="E21" s="6"/>
      <c r="F21" s="6"/>
      <c r="G21" s="6"/>
      <c r="H21" s="5"/>
    </row>
    <row r="23" spans="3:20" ht="14.65" thickBot="1" x14ac:dyDescent="0.5"/>
    <row r="24" spans="3:20" x14ac:dyDescent="0.45">
      <c r="C24" s="16"/>
      <c r="D24" s="17"/>
      <c r="E24" s="17"/>
      <c r="F24" s="17"/>
      <c r="G24" s="17"/>
      <c r="H24" s="17"/>
      <c r="I24" s="17"/>
      <c r="J24" s="17"/>
      <c r="K24" s="18"/>
      <c r="L24" s="16"/>
      <c r="M24" s="17"/>
      <c r="N24" s="17"/>
      <c r="O24" s="17"/>
      <c r="P24" s="17"/>
      <c r="Q24" s="17"/>
      <c r="R24" s="17"/>
      <c r="S24" s="17"/>
      <c r="T24" s="18"/>
    </row>
    <row r="25" spans="3:20" x14ac:dyDescent="0.45">
      <c r="C25" s="19"/>
      <c r="D25" s="31" t="s">
        <v>43</v>
      </c>
      <c r="E25" s="31"/>
      <c r="F25" s="31"/>
      <c r="K25" s="21"/>
      <c r="L25" s="19"/>
      <c r="M25" s="31" t="s">
        <v>60</v>
      </c>
      <c r="N25" s="31"/>
      <c r="O25" s="31"/>
      <c r="T25" s="21"/>
    </row>
    <row r="26" spans="3:20" x14ac:dyDescent="0.45">
      <c r="C26" s="19"/>
      <c r="D26" s="20"/>
      <c r="E26" s="20"/>
      <c r="F26" s="20"/>
      <c r="K26" s="21"/>
      <c r="L26" s="19"/>
      <c r="M26" s="20"/>
      <c r="N26" s="20"/>
      <c r="O26" s="20"/>
      <c r="T26" s="21"/>
    </row>
    <row r="27" spans="3:20" ht="28.5" x14ac:dyDescent="0.45">
      <c r="C27" s="19"/>
      <c r="D27" t="s">
        <v>55</v>
      </c>
      <c r="E27" t="s">
        <v>45</v>
      </c>
      <c r="F27" t="s">
        <v>49</v>
      </c>
      <c r="G27" t="s">
        <v>45</v>
      </c>
      <c r="H27" t="s">
        <v>47</v>
      </c>
      <c r="I27" t="s">
        <v>51</v>
      </c>
      <c r="J27" t="s">
        <v>52</v>
      </c>
      <c r="K27" s="21"/>
      <c r="L27" s="19"/>
      <c r="M27" s="13" t="s">
        <v>68</v>
      </c>
      <c r="N27" t="s">
        <v>45</v>
      </c>
      <c r="O27" t="s">
        <v>49</v>
      </c>
      <c r="P27" t="s">
        <v>45</v>
      </c>
      <c r="Q27" t="s">
        <v>47</v>
      </c>
      <c r="R27" t="s">
        <v>51</v>
      </c>
      <c r="S27" t="s">
        <v>52</v>
      </c>
      <c r="T27" s="21"/>
    </row>
    <row r="28" spans="3:20" x14ac:dyDescent="0.45">
      <c r="C28" s="19"/>
      <c r="D28" s="22" t="s">
        <v>37</v>
      </c>
      <c r="E28" s="23" t="s">
        <v>44</v>
      </c>
      <c r="F28" s="23" t="s">
        <v>46</v>
      </c>
      <c r="G28" s="23" t="s">
        <v>44</v>
      </c>
      <c r="H28" s="24" t="s">
        <v>50</v>
      </c>
      <c r="I28" s="24" t="s">
        <v>53</v>
      </c>
      <c r="J28" s="24" t="s">
        <v>56</v>
      </c>
      <c r="K28" s="21"/>
      <c r="L28" s="19"/>
      <c r="M28" s="22" t="s">
        <v>37</v>
      </c>
      <c r="N28" s="23" t="s">
        <v>44</v>
      </c>
      <c r="O28" s="23" t="s">
        <v>46</v>
      </c>
      <c r="P28" s="23" t="s">
        <v>44</v>
      </c>
      <c r="Q28" s="24" t="s">
        <v>50</v>
      </c>
      <c r="R28" s="24" t="s">
        <v>53</v>
      </c>
      <c r="S28" s="24" t="s">
        <v>56</v>
      </c>
      <c r="T28" s="21"/>
    </row>
    <row r="29" spans="3:20" x14ac:dyDescent="0.45">
      <c r="C29" s="19"/>
      <c r="D29" s="15">
        <v>4.88</v>
      </c>
      <c r="E29">
        <v>1</v>
      </c>
      <c r="F29">
        <v>1</v>
      </c>
      <c r="G29">
        <v>1</v>
      </c>
      <c r="H29">
        <v>1</v>
      </c>
      <c r="I29" cm="1">
        <f t="array" ref="I29:I46">LN(D29:D46)</f>
        <v>1.5851452198650557</v>
      </c>
      <c r="J29">
        <v>0</v>
      </c>
      <c r="K29" s="21"/>
      <c r="L29" s="19"/>
      <c r="M29" s="15">
        <v>5.08</v>
      </c>
      <c r="N29">
        <v>1</v>
      </c>
      <c r="O29">
        <v>1</v>
      </c>
      <c r="P29">
        <v>1</v>
      </c>
      <c r="Q29">
        <v>1</v>
      </c>
      <c r="R29" cm="1">
        <f t="array" ref="R29:R46">LN(M29:M46)</f>
        <v>1.6253112615903906</v>
      </c>
      <c r="S29">
        <v>0</v>
      </c>
      <c r="T29" s="21"/>
    </row>
    <row r="30" spans="3:20" x14ac:dyDescent="0.45">
      <c r="C30" s="19"/>
      <c r="D30" s="15">
        <v>6.68</v>
      </c>
      <c r="E30">
        <v>2</v>
      </c>
      <c r="F30">
        <v>4</v>
      </c>
      <c r="G30">
        <v>2</v>
      </c>
      <c r="H30">
        <v>0.5</v>
      </c>
      <c r="I30">
        <v>1.8991179875485542</v>
      </c>
      <c r="J30">
        <v>0.69314718055994529</v>
      </c>
      <c r="K30" s="21"/>
      <c r="L30" s="19"/>
      <c r="M30" s="15">
        <v>8.0299999999999994</v>
      </c>
      <c r="N30">
        <v>2</v>
      </c>
      <c r="O30">
        <v>4</v>
      </c>
      <c r="P30">
        <v>2</v>
      </c>
      <c r="Q30">
        <v>0.5</v>
      </c>
      <c r="R30">
        <v>2.0831845279586703</v>
      </c>
      <c r="S30">
        <v>0.69314718055994529</v>
      </c>
      <c r="T30" s="21"/>
    </row>
    <row r="31" spans="3:20" x14ac:dyDescent="0.45">
      <c r="C31" s="19"/>
      <c r="D31" s="15">
        <v>7.31</v>
      </c>
      <c r="E31">
        <v>3</v>
      </c>
      <c r="F31">
        <v>9</v>
      </c>
      <c r="G31">
        <v>3</v>
      </c>
      <c r="H31">
        <v>0.33333333333333331</v>
      </c>
      <c r="I31">
        <v>1.9892432737616872</v>
      </c>
      <c r="J31">
        <v>1.0986122886681098</v>
      </c>
      <c r="K31" s="21"/>
      <c r="L31" s="19"/>
      <c r="M31" s="15">
        <v>10.16</v>
      </c>
      <c r="N31">
        <v>3</v>
      </c>
      <c r="O31">
        <v>9</v>
      </c>
      <c r="P31">
        <v>3</v>
      </c>
      <c r="Q31">
        <v>0.33333333333333331</v>
      </c>
      <c r="R31">
        <v>2.318458442150336</v>
      </c>
      <c r="S31">
        <v>1.0986122886681098</v>
      </c>
      <c r="T31" s="21"/>
    </row>
    <row r="32" spans="3:20" x14ac:dyDescent="0.45">
      <c r="C32" s="19"/>
      <c r="D32" s="15">
        <v>11.56</v>
      </c>
      <c r="E32">
        <v>4</v>
      </c>
      <c r="F32">
        <v>16</v>
      </c>
      <c r="G32">
        <v>4</v>
      </c>
      <c r="H32">
        <v>0.25</v>
      </c>
      <c r="I32">
        <v>2.4475508632442313</v>
      </c>
      <c r="J32">
        <v>1.3862943611198906</v>
      </c>
      <c r="K32" s="21"/>
      <c r="L32" s="19"/>
      <c r="M32" s="15">
        <v>19.12</v>
      </c>
      <c r="N32">
        <v>4</v>
      </c>
      <c r="O32">
        <v>16</v>
      </c>
      <c r="P32">
        <v>4</v>
      </c>
      <c r="Q32">
        <v>0.25</v>
      </c>
      <c r="R32">
        <v>2.9507349076232554</v>
      </c>
      <c r="S32">
        <v>1.3862943611198906</v>
      </c>
      <c r="T32" s="21"/>
    </row>
    <row r="33" spans="3:20" x14ac:dyDescent="0.45">
      <c r="C33" s="19"/>
      <c r="D33" s="15">
        <v>13.36</v>
      </c>
      <c r="E33">
        <v>5</v>
      </c>
      <c r="F33">
        <v>25</v>
      </c>
      <c r="G33">
        <v>5</v>
      </c>
      <c r="H33">
        <v>0.2</v>
      </c>
      <c r="I33">
        <v>2.5922651681084998</v>
      </c>
      <c r="J33">
        <v>1.6094379124341003</v>
      </c>
      <c r="K33" s="21"/>
      <c r="L33" s="19"/>
      <c r="M33" s="15">
        <v>20.200000000000003</v>
      </c>
      <c r="N33">
        <v>5</v>
      </c>
      <c r="O33">
        <v>25</v>
      </c>
      <c r="P33">
        <v>5</v>
      </c>
      <c r="Q33">
        <v>0.2</v>
      </c>
      <c r="R33">
        <v>3.0056826044071592</v>
      </c>
      <c r="S33">
        <v>1.6094379124341003</v>
      </c>
      <c r="T33" s="21"/>
    </row>
    <row r="34" spans="3:20" x14ac:dyDescent="0.45">
      <c r="C34" s="19"/>
      <c r="D34" s="15">
        <v>14.97</v>
      </c>
      <c r="E34">
        <v>6</v>
      </c>
      <c r="F34">
        <v>36</v>
      </c>
      <c r="G34">
        <v>6</v>
      </c>
      <c r="H34">
        <v>0.16666666666666666</v>
      </c>
      <c r="I34">
        <v>2.706048198431537</v>
      </c>
      <c r="J34">
        <v>1.791759469228055</v>
      </c>
      <c r="K34" s="21"/>
      <c r="L34" s="19"/>
      <c r="M34" s="15">
        <v>19.470000000000002</v>
      </c>
      <c r="N34">
        <v>6</v>
      </c>
      <c r="O34">
        <v>36</v>
      </c>
      <c r="P34">
        <v>6</v>
      </c>
      <c r="Q34">
        <v>0.16666666666666666</v>
      </c>
      <c r="R34">
        <v>2.9688748193841086</v>
      </c>
      <c r="S34">
        <v>1.791759469228055</v>
      </c>
      <c r="T34" s="21"/>
    </row>
    <row r="35" spans="3:20" x14ac:dyDescent="0.45">
      <c r="C35" s="19"/>
      <c r="D35" s="15">
        <v>14.69</v>
      </c>
      <c r="E35">
        <v>7</v>
      </c>
      <c r="F35">
        <v>49</v>
      </c>
      <c r="G35">
        <v>7</v>
      </c>
      <c r="H35">
        <v>0.14285714285714285</v>
      </c>
      <c r="I35">
        <v>2.6871669901857858</v>
      </c>
      <c r="J35">
        <v>1.9459101490553132</v>
      </c>
      <c r="K35" s="21"/>
      <c r="L35" s="19"/>
      <c r="M35" s="15">
        <v>14.829999999999998</v>
      </c>
      <c r="N35">
        <v>7</v>
      </c>
      <c r="O35">
        <v>49</v>
      </c>
      <c r="P35">
        <v>7</v>
      </c>
      <c r="Q35">
        <v>0.14285714285714285</v>
      </c>
      <c r="R35">
        <v>2.6966521561498404</v>
      </c>
      <c r="S35">
        <v>1.9459101490553132</v>
      </c>
      <c r="T35" s="21"/>
    </row>
    <row r="36" spans="3:20" x14ac:dyDescent="0.45">
      <c r="C36" s="19"/>
      <c r="D36" s="15">
        <v>20.21</v>
      </c>
      <c r="E36">
        <v>8</v>
      </c>
      <c r="F36">
        <v>64</v>
      </c>
      <c r="G36">
        <v>8</v>
      </c>
      <c r="H36">
        <v>0.125</v>
      </c>
      <c r="I36">
        <v>3.0061775314155299</v>
      </c>
      <c r="J36">
        <v>2.0794415416798357</v>
      </c>
      <c r="K36" s="21"/>
      <c r="L36" s="19"/>
      <c r="M36" s="15">
        <v>21.48</v>
      </c>
      <c r="N36">
        <v>8</v>
      </c>
      <c r="O36">
        <v>64</v>
      </c>
      <c r="P36">
        <v>8</v>
      </c>
      <c r="Q36">
        <v>0.125</v>
      </c>
      <c r="R36">
        <v>3.0671222696406639</v>
      </c>
      <c r="S36">
        <v>2.0794415416798357</v>
      </c>
      <c r="T36" s="21"/>
    </row>
    <row r="37" spans="3:20" x14ac:dyDescent="0.45">
      <c r="C37" s="19"/>
      <c r="D37" s="15">
        <v>35.29</v>
      </c>
      <c r="E37">
        <v>9</v>
      </c>
      <c r="F37">
        <v>81</v>
      </c>
      <c r="G37">
        <v>9</v>
      </c>
      <c r="H37">
        <v>0.1111111111111111</v>
      </c>
      <c r="I37">
        <v>3.5635996376871786</v>
      </c>
      <c r="J37">
        <v>2.1972245773362196</v>
      </c>
      <c r="K37" s="21"/>
      <c r="L37" s="19"/>
      <c r="M37" s="15">
        <v>25.019999999999996</v>
      </c>
      <c r="N37">
        <v>9</v>
      </c>
      <c r="O37">
        <v>81</v>
      </c>
      <c r="P37">
        <v>9</v>
      </c>
      <c r="Q37">
        <v>0.1111111111111111</v>
      </c>
      <c r="R37">
        <v>3.2196755050387651</v>
      </c>
      <c r="S37">
        <v>2.1972245773362196</v>
      </c>
      <c r="T37" s="21"/>
    </row>
    <row r="38" spans="3:20" x14ac:dyDescent="0.45">
      <c r="C38" s="19"/>
      <c r="D38" s="15">
        <v>31.18</v>
      </c>
      <c r="E38">
        <v>10</v>
      </c>
      <c r="F38">
        <v>100</v>
      </c>
      <c r="G38">
        <v>10</v>
      </c>
      <c r="H38">
        <v>0.1</v>
      </c>
      <c r="I38">
        <v>3.4397768636296306</v>
      </c>
      <c r="J38">
        <v>2.3025850929940459</v>
      </c>
      <c r="K38" s="21"/>
      <c r="L38" s="19"/>
      <c r="M38" s="15">
        <v>22.56</v>
      </c>
      <c r="N38">
        <v>10</v>
      </c>
      <c r="O38">
        <v>100</v>
      </c>
      <c r="P38">
        <v>10</v>
      </c>
      <c r="Q38">
        <v>0.1</v>
      </c>
      <c r="R38">
        <v>3.1161784266298582</v>
      </c>
      <c r="S38">
        <v>2.3025850929940459</v>
      </c>
      <c r="T38" s="21"/>
    </row>
    <row r="39" spans="3:20" x14ac:dyDescent="0.45">
      <c r="C39" s="19"/>
      <c r="D39" s="15">
        <v>23.85</v>
      </c>
      <c r="E39">
        <v>11</v>
      </c>
      <c r="F39">
        <v>121</v>
      </c>
      <c r="G39">
        <v>11</v>
      </c>
      <c r="H39">
        <v>9.0909090909090912E-2</v>
      </c>
      <c r="I39">
        <v>3.1717842173343502</v>
      </c>
      <c r="J39">
        <v>2.3978952727983707</v>
      </c>
      <c r="K39" s="21"/>
      <c r="L39" s="19"/>
      <c r="M39" s="15">
        <v>20.87</v>
      </c>
      <c r="N39">
        <v>11</v>
      </c>
      <c r="O39">
        <v>121</v>
      </c>
      <c r="P39">
        <v>11</v>
      </c>
      <c r="Q39">
        <v>9.0909090909090912E-2</v>
      </c>
      <c r="R39">
        <v>3.0383127210891092</v>
      </c>
      <c r="S39">
        <v>2.3978952727983707</v>
      </c>
      <c r="T39" s="21"/>
    </row>
    <row r="40" spans="3:20" x14ac:dyDescent="0.45">
      <c r="C40" s="19"/>
      <c r="D40" s="15">
        <v>19.079999999999998</v>
      </c>
      <c r="E40">
        <v>12</v>
      </c>
      <c r="F40">
        <v>144</v>
      </c>
      <c r="G40">
        <v>12</v>
      </c>
      <c r="H40">
        <v>8.3333333333333329E-2</v>
      </c>
      <c r="I40">
        <v>2.9486406660201405</v>
      </c>
      <c r="J40">
        <v>2.4849066497880004</v>
      </c>
      <c r="K40" s="21"/>
      <c r="L40" s="19"/>
      <c r="M40" s="15">
        <v>19.41</v>
      </c>
      <c r="N40">
        <v>12</v>
      </c>
      <c r="O40">
        <v>144</v>
      </c>
      <c r="P40">
        <v>12</v>
      </c>
      <c r="Q40">
        <v>8.3333333333333329E-2</v>
      </c>
      <c r="R40">
        <v>2.9657883971809187</v>
      </c>
      <c r="S40">
        <v>2.4849066497880004</v>
      </c>
      <c r="T40" s="21"/>
    </row>
    <row r="41" spans="3:20" x14ac:dyDescent="0.45">
      <c r="C41" s="19"/>
      <c r="D41" s="15">
        <v>15.71</v>
      </c>
      <c r="E41">
        <v>13</v>
      </c>
      <c r="F41">
        <v>169</v>
      </c>
      <c r="G41">
        <v>13</v>
      </c>
      <c r="H41">
        <v>7.6923076923076927E-2</v>
      </c>
      <c r="I41">
        <v>2.7542974522675299</v>
      </c>
      <c r="J41">
        <v>2.5649493574615367</v>
      </c>
      <c r="K41" s="21"/>
      <c r="L41" s="19"/>
      <c r="M41" s="15">
        <v>15.6</v>
      </c>
      <c r="N41">
        <v>13</v>
      </c>
      <c r="O41">
        <v>169</v>
      </c>
      <c r="P41">
        <v>13</v>
      </c>
      <c r="Q41">
        <v>7.6923076923076927E-2</v>
      </c>
      <c r="R41">
        <v>2.7472709142554912</v>
      </c>
      <c r="S41">
        <v>2.5649493574615367</v>
      </c>
      <c r="T41" s="21"/>
    </row>
    <row r="42" spans="3:20" x14ac:dyDescent="0.45">
      <c r="C42" s="19"/>
      <c r="D42" s="15">
        <v>17.14</v>
      </c>
      <c r="E42">
        <v>14</v>
      </c>
      <c r="F42">
        <v>196</v>
      </c>
      <c r="G42">
        <v>14</v>
      </c>
      <c r="H42">
        <v>7.1428571428571425E-2</v>
      </c>
      <c r="I42">
        <v>2.8414149131696336</v>
      </c>
      <c r="J42">
        <v>2.6390573296152584</v>
      </c>
      <c r="K42" s="21"/>
      <c r="L42" s="19"/>
      <c r="M42" s="15">
        <v>13.76</v>
      </c>
      <c r="N42">
        <v>14</v>
      </c>
      <c r="O42">
        <v>196</v>
      </c>
      <c r="P42">
        <v>14</v>
      </c>
      <c r="Q42">
        <v>7.1428571428571425E-2</v>
      </c>
      <c r="R42">
        <v>2.6217658325051976</v>
      </c>
      <c r="S42">
        <v>2.6390573296152584</v>
      </c>
      <c r="T42" s="21"/>
    </row>
    <row r="43" spans="3:20" x14ac:dyDescent="0.45">
      <c r="C43" s="19"/>
      <c r="D43" s="15">
        <v>17.07</v>
      </c>
      <c r="E43">
        <v>15</v>
      </c>
      <c r="F43">
        <v>225</v>
      </c>
      <c r="G43">
        <v>15</v>
      </c>
      <c r="H43">
        <v>6.6666666666666666E-2</v>
      </c>
      <c r="I43">
        <v>2.837322536806349</v>
      </c>
      <c r="J43">
        <v>2.7080502011022101</v>
      </c>
      <c r="K43" s="21"/>
      <c r="L43" s="19"/>
      <c r="M43" s="15">
        <v>17.580000000000002</v>
      </c>
      <c r="N43">
        <v>15</v>
      </c>
      <c r="O43">
        <v>225</v>
      </c>
      <c r="P43">
        <v>15</v>
      </c>
      <c r="Q43">
        <v>6.6666666666666666E-2</v>
      </c>
      <c r="R43">
        <v>2.8667618922570313</v>
      </c>
      <c r="S43">
        <v>2.7080502011022101</v>
      </c>
      <c r="T43" s="21"/>
    </row>
    <row r="44" spans="3:20" x14ac:dyDescent="0.45">
      <c r="C44" s="19"/>
      <c r="D44" s="15">
        <v>15.71</v>
      </c>
      <c r="E44">
        <v>16</v>
      </c>
      <c r="F44">
        <v>256</v>
      </c>
      <c r="G44">
        <v>16</v>
      </c>
      <c r="H44">
        <v>6.25E-2</v>
      </c>
      <c r="I44">
        <v>2.7542974522675299</v>
      </c>
      <c r="J44">
        <v>2.7725887222397811</v>
      </c>
      <c r="K44" s="21"/>
      <c r="L44" s="19"/>
      <c r="M44" s="15">
        <v>18.329999999999998</v>
      </c>
      <c r="N44">
        <v>16</v>
      </c>
      <c r="O44">
        <v>256</v>
      </c>
      <c r="P44">
        <v>16</v>
      </c>
      <c r="Q44">
        <v>6.25E-2</v>
      </c>
      <c r="R44">
        <v>2.9085390618516134</v>
      </c>
      <c r="S44">
        <v>2.7725887222397811</v>
      </c>
      <c r="T44" s="21"/>
    </row>
    <row r="45" spans="3:20" x14ac:dyDescent="0.45">
      <c r="C45" s="19"/>
      <c r="D45" s="15">
        <v>16.22</v>
      </c>
      <c r="E45">
        <v>17</v>
      </c>
      <c r="F45">
        <v>289</v>
      </c>
      <c r="G45">
        <v>17</v>
      </c>
      <c r="H45">
        <v>5.8823529411764705E-2</v>
      </c>
      <c r="I45">
        <v>2.7862450486872667</v>
      </c>
      <c r="J45">
        <v>2.8332133440562162</v>
      </c>
      <c r="K45" s="21"/>
      <c r="L45" s="19"/>
      <c r="M45" s="15">
        <v>17.010000000000002</v>
      </c>
      <c r="N45">
        <v>17</v>
      </c>
      <c r="O45">
        <v>289</v>
      </c>
      <c r="P45">
        <v>17</v>
      </c>
      <c r="Q45">
        <v>5.8823529411764705E-2</v>
      </c>
      <c r="R45">
        <v>2.8338014064077703</v>
      </c>
      <c r="S45">
        <v>2.8332133440562162</v>
      </c>
      <c r="T45" s="21"/>
    </row>
    <row r="46" spans="3:20" x14ac:dyDescent="0.45">
      <c r="C46" s="19"/>
      <c r="D46" s="15">
        <v>20.69</v>
      </c>
      <c r="E46">
        <v>18</v>
      </c>
      <c r="F46">
        <v>324</v>
      </c>
      <c r="G46">
        <v>18</v>
      </c>
      <c r="H46">
        <v>5.5555555555555552E-2</v>
      </c>
      <c r="I46">
        <v>3.0296504917574518</v>
      </c>
      <c r="J46">
        <v>2.8903717578961645</v>
      </c>
      <c r="K46" s="21"/>
      <c r="L46" s="19"/>
      <c r="M46" s="15">
        <v>17.510000000000002</v>
      </c>
      <c r="N46">
        <v>18</v>
      </c>
      <c r="O46">
        <v>324</v>
      </c>
      <c r="P46">
        <v>18</v>
      </c>
      <c r="Q46">
        <v>5.5555555555555552E-2</v>
      </c>
      <c r="R46">
        <v>2.8627721462977607</v>
      </c>
      <c r="S46">
        <v>2.8903717578961645</v>
      </c>
      <c r="T46" s="21"/>
    </row>
    <row r="47" spans="3:20" x14ac:dyDescent="0.45">
      <c r="C47" s="19"/>
      <c r="K47" s="21"/>
      <c r="L47" s="19"/>
      <c r="T47" s="21"/>
    </row>
    <row r="48" spans="3:20" x14ac:dyDescent="0.45">
      <c r="C48" s="19"/>
      <c r="K48" s="21"/>
      <c r="L48" s="19"/>
      <c r="T48" s="21"/>
    </row>
    <row r="49" spans="3:20" x14ac:dyDescent="0.45">
      <c r="C49" s="19"/>
      <c r="D49" t="s">
        <v>48</v>
      </c>
      <c r="H49" t="s">
        <v>57</v>
      </c>
      <c r="K49" s="21"/>
      <c r="L49" s="19"/>
      <c r="M49" t="s">
        <v>48</v>
      </c>
      <c r="Q49" t="s">
        <v>57</v>
      </c>
      <c r="T49" s="21"/>
    </row>
    <row r="50" spans="3:20" x14ac:dyDescent="0.45">
      <c r="C50" s="19"/>
      <c r="D50" cm="1">
        <f t="array" ref="D50:F54">LINEST(D29:D46,E29:F46,1,1)</f>
        <v>-0.18684726522187828</v>
      </c>
      <c r="E50">
        <v>4.2205211558307552</v>
      </c>
      <c r="F50">
        <v>-1.2249019607843294</v>
      </c>
      <c r="H50" cm="1">
        <f t="array" ref="H50:I54">LINEST(_xlfn.ANCHORARRAY(I29),E29:E46,1,1)</f>
        <v>5.8160109818662029E-2</v>
      </c>
      <c r="I50">
        <v>2.1719092073998181</v>
      </c>
      <c r="K50" s="21"/>
      <c r="L50" s="19"/>
      <c r="M50" cm="1">
        <f t="array" ref="M50:O54">LINEST(M29:M46,N29:O46,1,1)</f>
        <v>-0.13971104231166159</v>
      </c>
      <c r="N50">
        <v>3.035149638802892</v>
      </c>
      <c r="O50">
        <v>4.5366666666666546</v>
      </c>
      <c r="Q50" cm="1">
        <f t="array" ref="Q50:R54">LINEST(_xlfn.ANCHORARRAY(R29),N29:N46,1,1)</f>
        <v>3.6318586482893482E-2</v>
      </c>
      <c r="R50">
        <v>2.4270227224357308</v>
      </c>
      <c r="T50" s="21"/>
    </row>
    <row r="51" spans="3:20" x14ac:dyDescent="0.45">
      <c r="C51" s="19"/>
      <c r="D51">
        <v>5.3011396356151291E-2</v>
      </c>
      <c r="E51">
        <v>1.0365501661348298</v>
      </c>
      <c r="F51">
        <v>4.277420775084015</v>
      </c>
      <c r="G51" t="s">
        <v>59</v>
      </c>
      <c r="H51">
        <v>1.8480374911070737E-2</v>
      </c>
      <c r="I51">
        <v>0.20003814326613403</v>
      </c>
      <c r="J51" t="s">
        <v>59</v>
      </c>
      <c r="K51" s="21"/>
      <c r="L51" s="19"/>
      <c r="M51">
        <v>3.3485377863653701E-2</v>
      </c>
      <c r="N51">
        <v>0.65475117377530156</v>
      </c>
      <c r="O51">
        <v>2.7018916833136912</v>
      </c>
      <c r="P51" t="s">
        <v>59</v>
      </c>
      <c r="Q51">
        <v>1.6318421726872725E-2</v>
      </c>
      <c r="R51">
        <v>0.17663639395767156</v>
      </c>
      <c r="S51" t="s">
        <v>59</v>
      </c>
      <c r="T51" s="21"/>
    </row>
    <row r="52" spans="3:20" x14ac:dyDescent="0.45">
      <c r="C52" s="19"/>
      <c r="D52" s="25">
        <v>0.57045254486027341</v>
      </c>
      <c r="E52">
        <v>5.3894629948213781</v>
      </c>
      <c r="F52" t="e">
        <v>#N/A</v>
      </c>
      <c r="G52" s="26">
        <f>E52/AVERAGE(D29:D46)</f>
        <v>0.3174421921033535</v>
      </c>
      <c r="H52" s="25">
        <v>0.38234469786079267</v>
      </c>
      <c r="I52">
        <v>0.40677819809526861</v>
      </c>
      <c r="J52" s="26">
        <f>I52/AVERAGE(D29:D46)</f>
        <v>2.3959448840689911E-2</v>
      </c>
      <c r="K52" s="21"/>
      <c r="L52" s="19"/>
      <c r="M52" s="25">
        <v>0.61003623291975184</v>
      </c>
      <c r="N52">
        <v>3.4043284514015926</v>
      </c>
      <c r="O52" t="e">
        <v>#N/A</v>
      </c>
      <c r="P52" s="26">
        <f>N52/AVERAGE(M29:M46)</f>
        <v>0.20024152710681872</v>
      </c>
      <c r="Q52" s="25">
        <v>0.23640001431336649</v>
      </c>
      <c r="R52">
        <v>0.35919066673476752</v>
      </c>
      <c r="S52" s="26">
        <f>R52/AVERAGE(M29:M46)</f>
        <v>2.1127481867936133E-2</v>
      </c>
      <c r="T52" s="21"/>
    </row>
    <row r="53" spans="3:20" x14ac:dyDescent="0.45">
      <c r="C53" s="19"/>
      <c r="D53">
        <v>9.9602361398238077</v>
      </c>
      <c r="E53">
        <v>15</v>
      </c>
      <c r="F53" t="e">
        <v>#N/A</v>
      </c>
      <c r="H53">
        <v>9.904416176118108</v>
      </c>
      <c r="I53">
        <v>16</v>
      </c>
      <c r="K53" s="21"/>
      <c r="L53" s="19"/>
      <c r="M53">
        <v>11.732556029895525</v>
      </c>
      <c r="N53">
        <v>15</v>
      </c>
      <c r="O53" t="e">
        <v>#N/A</v>
      </c>
      <c r="Q53">
        <v>4.9533791250830204</v>
      </c>
      <c r="R53">
        <v>16</v>
      </c>
      <c r="T53" s="21"/>
    </row>
    <row r="54" spans="3:20" x14ac:dyDescent="0.45">
      <c r="C54" s="19"/>
      <c r="D54">
        <v>578.61624052287596</v>
      </c>
      <c r="E54">
        <v>435.69467058823523</v>
      </c>
      <c r="F54" t="e">
        <v>#N/A</v>
      </c>
      <c r="H54">
        <v>1.638868912260572</v>
      </c>
      <c r="I54">
        <v>2.6474960391301372</v>
      </c>
      <c r="K54" s="21"/>
      <c r="L54" s="19"/>
      <c r="M54">
        <v>271.94779470244225</v>
      </c>
      <c r="N54">
        <v>173.84178307533548</v>
      </c>
      <c r="O54" t="e">
        <v>#N/A</v>
      </c>
      <c r="Q54">
        <v>0.63907474633391814</v>
      </c>
      <c r="R54">
        <v>2.0642869611098691</v>
      </c>
      <c r="T54" s="21"/>
    </row>
    <row r="55" spans="3:20" x14ac:dyDescent="0.45">
      <c r="C55" s="19"/>
      <c r="D55">
        <f>_xlfn.T.DIST.2T(ABS(D50/D51),E53)</f>
        <v>3.0644655892378878E-3</v>
      </c>
      <c r="E55">
        <f>_xlfn.T.DIST.2T(ABS(E50/E51),E53)</f>
        <v>1.0021641752011839E-3</v>
      </c>
      <c r="H55">
        <f>_xlfn.T.DIST.2T(ABS(H50/H51),I53)</f>
        <v>6.2326422434092997E-3</v>
      </c>
      <c r="I55">
        <f>_xlfn.T.DIST.2T(ABS(I50/I51),I53)</f>
        <v>8.642190414281007E-9</v>
      </c>
      <c r="K55" s="21"/>
      <c r="L55" s="19"/>
      <c r="M55">
        <f>_xlfn.T.DIST.2T(ABS(M50/M51),N53)</f>
        <v>8.1740339967080098E-4</v>
      </c>
      <c r="N55">
        <f>_xlfn.T.DIST.2T(ABS(N50/N51),N53)</f>
        <v>3.2336873172669924E-4</v>
      </c>
      <c r="Q55">
        <f>_xlfn.T.DIST.2T(ABS(Q50/Q51),R53)</f>
        <v>4.076602733069927E-2</v>
      </c>
      <c r="R55">
        <f>_xlfn.T.DIST.2T(ABS(R50/R51),R53)</f>
        <v>2.8259712796858573E-10</v>
      </c>
      <c r="T55" s="21"/>
    </row>
    <row r="56" spans="3:20" x14ac:dyDescent="0.45">
      <c r="C56" s="19"/>
      <c r="K56" s="21"/>
      <c r="L56" s="19"/>
      <c r="T56" s="21"/>
    </row>
    <row r="57" spans="3:20" x14ac:dyDescent="0.45">
      <c r="C57" s="19"/>
      <c r="K57" s="21"/>
      <c r="L57" s="19"/>
      <c r="T57" s="21"/>
    </row>
    <row r="58" spans="3:20" x14ac:dyDescent="0.45">
      <c r="C58" s="19"/>
      <c r="D58" t="s">
        <v>54</v>
      </c>
      <c r="H58" s="30" t="s">
        <v>58</v>
      </c>
      <c r="K58" s="21"/>
      <c r="L58" s="19"/>
      <c r="M58" t="s">
        <v>54</v>
      </c>
      <c r="Q58" s="30" t="s">
        <v>58</v>
      </c>
      <c r="T58" s="21"/>
    </row>
    <row r="59" spans="3:20" x14ac:dyDescent="0.45">
      <c r="C59" s="19"/>
      <c r="D59" cm="1">
        <f t="array" ref="D59:F63">LINEST(D29:D46,G29:H46,1,1)</f>
        <v>-19.198708854932086</v>
      </c>
      <c r="E59">
        <v>6.797093187938387E-2</v>
      </c>
      <c r="F59">
        <v>20.059918503246529</v>
      </c>
      <c r="H59" cm="1">
        <f t="array" ref="H59:I63">LINEST(_xlfn.ANCHORARRAY(I29),J29:J46,1,1)</f>
        <v>0.49918516662471024</v>
      </c>
      <c r="I59">
        <v>1.7150932295353023</v>
      </c>
      <c r="K59" s="21"/>
      <c r="L59" s="19"/>
      <c r="M59" cm="1">
        <f t="array" ref="M59:O63">LINEST(M29:M46,P29:Q46,1,1)</f>
        <v>-21.277020141640126</v>
      </c>
      <c r="N59">
        <v>-0.2870294008914393</v>
      </c>
      <c r="O59">
        <v>23.859306251634901</v>
      </c>
      <c r="Q59" cm="1">
        <f t="array" ref="Q59:R63">LINEST(_xlfn.ANCHORARRAY(R29),S29:S46,1,1)</f>
        <v>0.36369195424297562</v>
      </c>
      <c r="R59">
        <v>2.0366753721758473</v>
      </c>
      <c r="T59" s="21"/>
    </row>
    <row r="60" spans="3:20" x14ac:dyDescent="0.45">
      <c r="C60" s="19"/>
      <c r="D60">
        <v>9.8721651902125025</v>
      </c>
      <c r="E60">
        <v>0.42837070873606781</v>
      </c>
      <c r="F60">
        <v>5.8201759447340438</v>
      </c>
      <c r="G60" t="s">
        <v>59</v>
      </c>
      <c r="H60">
        <v>9.4529639550286149E-2</v>
      </c>
      <c r="I60">
        <v>0.20483921485293102</v>
      </c>
      <c r="J60" t="s">
        <v>59</v>
      </c>
      <c r="K60" s="21"/>
      <c r="L60" s="19"/>
      <c r="M60">
        <v>5.2307515704919494</v>
      </c>
      <c r="N60">
        <v>0.22697156239802585</v>
      </c>
      <c r="O60">
        <v>3.083811289304585</v>
      </c>
      <c r="P60" t="s">
        <v>59</v>
      </c>
      <c r="Q60">
        <v>8.4800755631618777E-2</v>
      </c>
      <c r="R60">
        <v>0.18375739382012141</v>
      </c>
      <c r="S60" t="s">
        <v>59</v>
      </c>
      <c r="T60" s="21"/>
    </row>
    <row r="61" spans="3:20" x14ac:dyDescent="0.45">
      <c r="C61" s="19"/>
      <c r="D61" s="25">
        <v>0.37282519822110632</v>
      </c>
      <c r="E61">
        <v>6.5122973141500031</v>
      </c>
      <c r="F61" t="e">
        <v>#N/A</v>
      </c>
      <c r="G61" s="26">
        <f>E61/AVERAGE(D29:D46)</f>
        <v>0.38357772138318091</v>
      </c>
      <c r="H61" s="25">
        <v>0.63541963587783523</v>
      </c>
      <c r="I61">
        <v>0.3125224486675427</v>
      </c>
      <c r="J61" s="26">
        <f>I61/AVERAGE(D29:D46)</f>
        <v>1.8407735850836944E-2</v>
      </c>
      <c r="K61" s="21"/>
      <c r="L61" s="19"/>
      <c r="M61" s="25">
        <v>0.59937951864724259</v>
      </c>
      <c r="N61">
        <v>3.450530734359337</v>
      </c>
      <c r="O61" t="e">
        <v>#N/A</v>
      </c>
      <c r="P61" s="26">
        <f>N61/AVERAGE(M29:M46)</f>
        <v>0.2029591308361155</v>
      </c>
      <c r="Q61" s="25">
        <v>0.53479786184129174</v>
      </c>
      <c r="R61">
        <v>0.28035799062529254</v>
      </c>
      <c r="S61" s="26">
        <f>R61/AVERAGE(M29:M46)</f>
        <v>1.6490568692422932E-2</v>
      </c>
      <c r="T61" s="21"/>
    </row>
    <row r="62" spans="3:20" x14ac:dyDescent="0.45">
      <c r="C62" s="19"/>
      <c r="D62">
        <v>4.4583886003189184</v>
      </c>
      <c r="E62">
        <v>15</v>
      </c>
      <c r="F62" t="e">
        <v>#N/A</v>
      </c>
      <c r="H62">
        <v>27.886071699239043</v>
      </c>
      <c r="I62">
        <v>16</v>
      </c>
      <c r="K62" s="21"/>
      <c r="L62" s="19"/>
      <c r="M62">
        <v>11.220959983561206</v>
      </c>
      <c r="N62">
        <v>15</v>
      </c>
      <c r="O62" t="e">
        <v>#N/A</v>
      </c>
      <c r="Q62">
        <v>18.393651033782316</v>
      </c>
      <c r="R62">
        <v>16</v>
      </c>
      <c r="T62" s="21"/>
    </row>
    <row r="63" spans="3:20" x14ac:dyDescent="0.45">
      <c r="C63" s="19"/>
      <c r="D63">
        <v>378.16066649283096</v>
      </c>
      <c r="E63">
        <v>636.15024461828023</v>
      </c>
      <c r="F63" t="e">
        <v>#N/A</v>
      </c>
      <c r="H63">
        <v>2.7236404566521992</v>
      </c>
      <c r="I63">
        <v>1.5627244947385097</v>
      </c>
      <c r="K63" s="21"/>
      <c r="L63" s="19"/>
      <c r="M63">
        <v>267.19714254640189</v>
      </c>
      <c r="N63">
        <v>178.59243523137579</v>
      </c>
      <c r="O63" t="e">
        <v>#N/A</v>
      </c>
      <c r="Q63">
        <v>1.4457520609245611</v>
      </c>
      <c r="R63">
        <v>1.2576096465192261</v>
      </c>
      <c r="T63" s="21"/>
    </row>
    <row r="64" spans="3:20" x14ac:dyDescent="0.45">
      <c r="C64" s="19"/>
      <c r="D64">
        <f>_xlfn.T.DIST.2T(ABS(D59/D60),E62)</f>
        <v>7.0802190136022902E-2</v>
      </c>
      <c r="E64">
        <f>_xlfn.T.DIST.2T(ABS(E59/E60),E62)</f>
        <v>0.87604296357151057</v>
      </c>
      <c r="H64">
        <f>_xlfn.T.DIST.2T(ABS(H59/H60),$I$62)</f>
        <v>7.4634030847237353E-5</v>
      </c>
      <c r="I64">
        <f>_xlfn.T.DIST.2T(ABS(I59/I60),I62)</f>
        <v>3.0556896806690572E-7</v>
      </c>
      <c r="K64" s="21"/>
      <c r="L64" s="19"/>
      <c r="M64">
        <f>_xlfn.T.DIST.2T(ABS(M59/M60),N62)</f>
        <v>1.0103745207521542E-3</v>
      </c>
      <c r="N64">
        <f>_xlfn.T.DIST.2T(ABS(N59/N60),N62)</f>
        <v>0.22530897975559694</v>
      </c>
      <c r="Q64">
        <f>_xlfn.T.DIST.2T(ABS(Q59/Q60),$I$62)</f>
        <v>5.6368869409833199E-4</v>
      </c>
      <c r="R64">
        <f>_xlfn.T.DIST.2T(ABS(R59/R60),R62)</f>
        <v>6.4466493967113909E-9</v>
      </c>
      <c r="T64" s="21"/>
    </row>
    <row r="65" spans="3:20" x14ac:dyDescent="0.45">
      <c r="C65" s="19"/>
      <c r="K65" s="21"/>
      <c r="L65" s="19"/>
      <c r="T65" s="21"/>
    </row>
    <row r="66" spans="3:20" x14ac:dyDescent="0.45">
      <c r="C66" s="19"/>
      <c r="H66" t="s">
        <v>64</v>
      </c>
      <c r="I66" t="s">
        <v>65</v>
      </c>
      <c r="K66" s="21"/>
      <c r="L66" s="19"/>
      <c r="T66" s="21"/>
    </row>
    <row r="67" spans="3:20" x14ac:dyDescent="0.45">
      <c r="C67" s="19"/>
      <c r="H67">
        <f>EXP(I59)</f>
        <v>5.5571935827866197</v>
      </c>
      <c r="I67">
        <f>H59</f>
        <v>0.49918516662471024</v>
      </c>
      <c r="K67" s="21"/>
      <c r="L67" s="19"/>
      <c r="Q67">
        <f>EXP(R59)</f>
        <v>7.6650832412181078</v>
      </c>
      <c r="T67" s="21"/>
    </row>
    <row r="68" spans="3:20" x14ac:dyDescent="0.45">
      <c r="C68" s="19"/>
      <c r="H68" s="34" t="s">
        <v>66</v>
      </c>
      <c r="I68" s="34"/>
      <c r="J68" s="34"/>
      <c r="K68" s="21"/>
      <c r="L68" s="19"/>
      <c r="T68" s="21"/>
    </row>
    <row r="69" spans="3:20" ht="14.65" thickBot="1" x14ac:dyDescent="0.5">
      <c r="C69" s="27"/>
      <c r="D69" s="28"/>
      <c r="E69" s="28"/>
      <c r="F69" s="28"/>
      <c r="G69" s="28"/>
      <c r="H69" s="33"/>
      <c r="I69" s="33"/>
      <c r="J69" s="33"/>
      <c r="K69" s="29"/>
      <c r="L69" s="27"/>
      <c r="M69" s="28"/>
      <c r="N69" s="28"/>
      <c r="O69" s="28"/>
      <c r="P69" s="28"/>
      <c r="Q69" s="28"/>
      <c r="R69" s="28"/>
      <c r="S69" s="28"/>
      <c r="T69" s="29"/>
    </row>
    <row r="70" spans="3:20" x14ac:dyDescent="0.45">
      <c r="C70" s="16"/>
      <c r="D70" s="17"/>
      <c r="E70" s="17"/>
      <c r="F70" s="17"/>
      <c r="G70" s="17"/>
      <c r="H70" s="17"/>
      <c r="I70" s="17"/>
      <c r="J70" s="17"/>
      <c r="K70" s="18"/>
      <c r="L70" s="16"/>
      <c r="M70" s="17"/>
      <c r="N70" s="17"/>
      <c r="O70" s="17"/>
      <c r="P70" s="17"/>
      <c r="Q70" s="17"/>
      <c r="R70" s="17"/>
      <c r="S70" s="17"/>
      <c r="T70" s="18"/>
    </row>
    <row r="71" spans="3:20" x14ac:dyDescent="0.45">
      <c r="C71" s="19"/>
      <c r="D71" s="31" t="s">
        <v>61</v>
      </c>
      <c r="E71" s="31"/>
      <c r="F71" s="31"/>
      <c r="K71" s="21"/>
      <c r="L71" s="19"/>
      <c r="M71" s="31" t="s">
        <v>62</v>
      </c>
      <c r="N71" s="31"/>
      <c r="O71" s="31"/>
      <c r="T71" s="21"/>
    </row>
    <row r="72" spans="3:20" x14ac:dyDescent="0.45">
      <c r="C72" s="19"/>
      <c r="D72" s="20"/>
      <c r="E72" s="20"/>
      <c r="F72" s="20"/>
      <c r="K72" s="21"/>
      <c r="L72" s="19"/>
      <c r="M72" s="20"/>
      <c r="N72" s="20"/>
      <c r="O72" s="20"/>
      <c r="T72" s="21"/>
    </row>
    <row r="73" spans="3:20" ht="28.5" x14ac:dyDescent="0.45">
      <c r="C73" s="19"/>
      <c r="D73" t="s">
        <v>11</v>
      </c>
      <c r="E73" t="s">
        <v>45</v>
      </c>
      <c r="F73" t="s">
        <v>49</v>
      </c>
      <c r="G73" t="s">
        <v>45</v>
      </c>
      <c r="H73" t="s">
        <v>47</v>
      </c>
      <c r="I73" t="s">
        <v>51</v>
      </c>
      <c r="J73" t="s">
        <v>52</v>
      </c>
      <c r="K73" s="21"/>
      <c r="L73" s="19"/>
      <c r="M73" s="1" t="s">
        <v>9</v>
      </c>
      <c r="N73" t="s">
        <v>45</v>
      </c>
      <c r="O73" t="s">
        <v>49</v>
      </c>
      <c r="P73" t="s">
        <v>45</v>
      </c>
      <c r="Q73" t="s">
        <v>47</v>
      </c>
      <c r="R73" t="s">
        <v>51</v>
      </c>
      <c r="S73" t="s">
        <v>52</v>
      </c>
      <c r="T73" s="21"/>
    </row>
    <row r="74" spans="3:20" x14ac:dyDescent="0.45">
      <c r="C74" s="19"/>
      <c r="D74" s="22" t="s">
        <v>37</v>
      </c>
      <c r="E74" s="23" t="s">
        <v>44</v>
      </c>
      <c r="F74" s="23" t="s">
        <v>46</v>
      </c>
      <c r="G74" s="23" t="s">
        <v>44</v>
      </c>
      <c r="H74" s="24" t="s">
        <v>50</v>
      </c>
      <c r="I74" s="24" t="s">
        <v>53</v>
      </c>
      <c r="J74" s="24" t="s">
        <v>56</v>
      </c>
      <c r="K74" s="21"/>
      <c r="L74" s="19"/>
      <c r="M74" s="1" t="s">
        <v>37</v>
      </c>
      <c r="N74" s="23" t="s">
        <v>44</v>
      </c>
      <c r="O74" s="23" t="s">
        <v>46</v>
      </c>
      <c r="P74" s="23" t="s">
        <v>44</v>
      </c>
      <c r="Q74" s="24" t="s">
        <v>50</v>
      </c>
      <c r="R74" s="24" t="s">
        <v>53</v>
      </c>
      <c r="S74" s="24" t="s">
        <v>56</v>
      </c>
      <c r="T74" s="21"/>
    </row>
    <row r="75" spans="3:20" x14ac:dyDescent="0.45">
      <c r="C75" s="19"/>
      <c r="D75" s="15">
        <v>27.368110000000005</v>
      </c>
      <c r="E75">
        <v>1</v>
      </c>
      <c r="F75">
        <v>1</v>
      </c>
      <c r="G75">
        <v>1</v>
      </c>
      <c r="H75">
        <v>1</v>
      </c>
      <c r="I75" cm="1">
        <f t="array" ref="I75:I92">LN(D75:D92)</f>
        <v>3.309378466959831</v>
      </c>
      <c r="J75">
        <v>0</v>
      </c>
      <c r="K75" s="21"/>
      <c r="L75" s="19"/>
      <c r="M75" s="7">
        <v>95.915612648221341</v>
      </c>
      <c r="N75">
        <v>1</v>
      </c>
      <c r="O75">
        <v>1</v>
      </c>
      <c r="P75">
        <v>1</v>
      </c>
      <c r="Q75">
        <v>1</v>
      </c>
      <c r="R75" cm="1">
        <f t="array" ref="R75:R92">LN(M75:M92)</f>
        <v>4.5634687699757244</v>
      </c>
      <c r="S75">
        <v>0</v>
      </c>
      <c r="T75" s="21"/>
    </row>
    <row r="76" spans="3:20" x14ac:dyDescent="0.45">
      <c r="C76" s="19"/>
      <c r="D76" s="15">
        <v>26.96921</v>
      </c>
      <c r="E76">
        <v>2</v>
      </c>
      <c r="F76">
        <v>4</v>
      </c>
      <c r="G76">
        <v>2</v>
      </c>
      <c r="H76">
        <v>0.5</v>
      </c>
      <c r="I76">
        <v>3.294695844916915</v>
      </c>
      <c r="J76">
        <v>0.69314718055994529</v>
      </c>
      <c r="K76" s="21"/>
      <c r="L76" s="19"/>
      <c r="M76" s="7">
        <v>87.531019685039368</v>
      </c>
      <c r="N76">
        <v>2</v>
      </c>
      <c r="O76">
        <v>4</v>
      </c>
      <c r="P76">
        <v>2</v>
      </c>
      <c r="Q76">
        <v>0.5</v>
      </c>
      <c r="R76">
        <v>4.4719932412256673</v>
      </c>
      <c r="S76">
        <v>0.69314718055994529</v>
      </c>
      <c r="T76" s="21"/>
    </row>
    <row r="77" spans="3:20" x14ac:dyDescent="0.45">
      <c r="C77" s="19"/>
      <c r="D77" s="15">
        <v>26.436130000000002</v>
      </c>
      <c r="E77">
        <v>3</v>
      </c>
      <c r="F77">
        <v>9</v>
      </c>
      <c r="G77">
        <v>3</v>
      </c>
      <c r="H77">
        <v>0.33333333333333331</v>
      </c>
      <c r="I77">
        <v>3.2747316351328077</v>
      </c>
      <c r="J77">
        <v>1.0986122886681098</v>
      </c>
      <c r="K77" s="21"/>
      <c r="L77" s="19"/>
      <c r="M77" s="7">
        <v>87.145976470588238</v>
      </c>
      <c r="N77">
        <v>3</v>
      </c>
      <c r="O77">
        <v>9</v>
      </c>
      <c r="P77">
        <v>3</v>
      </c>
      <c r="Q77">
        <v>0.33333333333333331</v>
      </c>
      <c r="R77">
        <v>4.4675846030355251</v>
      </c>
      <c r="S77">
        <v>1.0986122886681098</v>
      </c>
      <c r="T77" s="21"/>
    </row>
    <row r="78" spans="3:20" x14ac:dyDescent="0.45">
      <c r="C78" s="19"/>
      <c r="D78" s="15">
        <v>26.163239999999995</v>
      </c>
      <c r="E78">
        <v>4</v>
      </c>
      <c r="F78">
        <v>16</v>
      </c>
      <c r="G78">
        <v>4</v>
      </c>
      <c r="H78">
        <v>0.25</v>
      </c>
      <c r="I78">
        <v>3.2643553721308312</v>
      </c>
      <c r="J78">
        <v>1.3862943611198906</v>
      </c>
      <c r="K78" s="21"/>
      <c r="L78" s="19"/>
      <c r="M78" s="7">
        <v>86.423519999999996</v>
      </c>
      <c r="N78">
        <v>4</v>
      </c>
      <c r="O78">
        <v>16</v>
      </c>
      <c r="P78">
        <v>4</v>
      </c>
      <c r="Q78">
        <v>0.25</v>
      </c>
      <c r="R78">
        <v>4.459259860986486</v>
      </c>
      <c r="S78">
        <v>1.3862943611198906</v>
      </c>
      <c r="T78" s="21"/>
    </row>
    <row r="79" spans="3:20" x14ac:dyDescent="0.45">
      <c r="C79" s="19"/>
      <c r="D79" s="15">
        <v>25.77122</v>
      </c>
      <c r="E79">
        <v>5</v>
      </c>
      <c r="F79">
        <v>25</v>
      </c>
      <c r="G79">
        <v>5</v>
      </c>
      <c r="H79">
        <v>0.2</v>
      </c>
      <c r="I79">
        <v>3.2492583654140748</v>
      </c>
      <c r="J79">
        <v>1.6094379124341003</v>
      </c>
      <c r="K79" s="21"/>
      <c r="L79" s="19"/>
      <c r="M79" s="7">
        <v>80.78503543307086</v>
      </c>
      <c r="N79">
        <v>5</v>
      </c>
      <c r="O79">
        <v>25</v>
      </c>
      <c r="P79">
        <v>5</v>
      </c>
      <c r="Q79">
        <v>0.2</v>
      </c>
      <c r="R79">
        <v>4.391791743338227</v>
      </c>
      <c r="S79">
        <v>1.6094379124341003</v>
      </c>
      <c r="T79" s="21"/>
    </row>
    <row r="80" spans="3:20" x14ac:dyDescent="0.45">
      <c r="C80" s="19"/>
      <c r="D80" s="15">
        <v>25.809720000000006</v>
      </c>
      <c r="E80">
        <v>6</v>
      </c>
      <c r="F80">
        <v>36</v>
      </c>
      <c r="G80">
        <v>6</v>
      </c>
      <c r="H80">
        <v>0.16666666666666666</v>
      </c>
      <c r="I80">
        <v>3.2507511651633472</v>
      </c>
      <c r="J80">
        <v>1.791759469228055</v>
      </c>
      <c r="K80" s="21"/>
      <c r="L80" s="19"/>
      <c r="M80" s="7">
        <v>77.025200772200776</v>
      </c>
      <c r="N80">
        <v>6</v>
      </c>
      <c r="O80">
        <v>36</v>
      </c>
      <c r="P80">
        <v>6</v>
      </c>
      <c r="Q80">
        <v>0.16666666666666666</v>
      </c>
      <c r="R80">
        <v>4.3441326510642195</v>
      </c>
      <c r="S80">
        <v>1.791759469228055</v>
      </c>
      <c r="T80" s="21"/>
    </row>
    <row r="81" spans="3:20" x14ac:dyDescent="0.45">
      <c r="C81" s="19"/>
      <c r="D81" s="15">
        <v>26.549669999999999</v>
      </c>
      <c r="E81">
        <v>7</v>
      </c>
      <c r="F81">
        <v>49</v>
      </c>
      <c r="G81">
        <v>7</v>
      </c>
      <c r="H81">
        <v>0.14285714285714285</v>
      </c>
      <c r="I81">
        <v>3.2790173182321714</v>
      </c>
      <c r="J81">
        <v>1.9459101490553132</v>
      </c>
      <c r="K81" s="21"/>
      <c r="L81" s="19"/>
      <c r="M81" s="7">
        <v>80.791648648648646</v>
      </c>
      <c r="N81">
        <v>7</v>
      </c>
      <c r="O81">
        <v>49</v>
      </c>
      <c r="P81">
        <v>7</v>
      </c>
      <c r="Q81">
        <v>0.14285714285714285</v>
      </c>
      <c r="R81">
        <v>4.3918736018764077</v>
      </c>
      <c r="S81">
        <v>1.9459101490553132</v>
      </c>
      <c r="T81" s="21"/>
    </row>
    <row r="82" spans="3:20" x14ac:dyDescent="0.45">
      <c r="C82" s="19"/>
      <c r="D82" s="15">
        <v>26.715580000000003</v>
      </c>
      <c r="E82">
        <v>8</v>
      </c>
      <c r="F82">
        <v>64</v>
      </c>
      <c r="G82">
        <v>8</v>
      </c>
      <c r="H82">
        <v>0.125</v>
      </c>
      <c r="I82">
        <v>3.2852469158235098</v>
      </c>
      <c r="J82">
        <v>2.0794415416798357</v>
      </c>
      <c r="K82" s="21"/>
      <c r="L82" s="19"/>
      <c r="M82" s="7">
        <v>81.353321839080465</v>
      </c>
      <c r="N82">
        <v>8</v>
      </c>
      <c r="O82">
        <v>64</v>
      </c>
      <c r="P82">
        <v>8</v>
      </c>
      <c r="Q82">
        <v>0.125</v>
      </c>
      <c r="R82">
        <v>4.3988016667475351</v>
      </c>
      <c r="S82">
        <v>2.0794415416798357</v>
      </c>
      <c r="T82" s="21"/>
    </row>
    <row r="83" spans="3:20" x14ac:dyDescent="0.45">
      <c r="C83" s="19"/>
      <c r="D83" s="15">
        <v>27.015050000000009</v>
      </c>
      <c r="E83">
        <v>9</v>
      </c>
      <c r="F83">
        <v>81</v>
      </c>
      <c r="G83">
        <v>9</v>
      </c>
      <c r="H83">
        <v>0.1111111111111111</v>
      </c>
      <c r="I83">
        <v>3.296394118117933</v>
      </c>
      <c r="J83">
        <v>2.1972245773362196</v>
      </c>
      <c r="K83" s="21"/>
      <c r="L83" s="19"/>
      <c r="M83" s="7">
        <v>76.69775769230769</v>
      </c>
      <c r="N83">
        <v>9</v>
      </c>
      <c r="O83">
        <v>81</v>
      </c>
      <c r="P83">
        <v>9</v>
      </c>
      <c r="Q83">
        <v>0.1111111111111111</v>
      </c>
      <c r="R83">
        <v>4.3398724731650011</v>
      </c>
      <c r="S83">
        <v>2.1972245773362196</v>
      </c>
      <c r="T83" s="21"/>
    </row>
    <row r="84" spans="3:20" x14ac:dyDescent="0.45">
      <c r="C84" s="19"/>
      <c r="D84" s="15">
        <v>27.289280000000012</v>
      </c>
      <c r="E84">
        <v>10</v>
      </c>
      <c r="F84">
        <v>100</v>
      </c>
      <c r="G84">
        <v>10</v>
      </c>
      <c r="H84">
        <v>0.1</v>
      </c>
      <c r="I84">
        <v>3.3064939510816198</v>
      </c>
      <c r="J84">
        <v>2.3025850929940459</v>
      </c>
      <c r="K84" s="21"/>
      <c r="L84" s="19"/>
      <c r="M84" s="7">
        <v>80.675657692307695</v>
      </c>
      <c r="N84">
        <v>10</v>
      </c>
      <c r="O84">
        <v>100</v>
      </c>
      <c r="P84">
        <v>10</v>
      </c>
      <c r="Q84">
        <v>0.1</v>
      </c>
      <c r="R84">
        <v>4.3904368902730342</v>
      </c>
      <c r="S84">
        <v>2.3025850929940459</v>
      </c>
      <c r="T84" s="21"/>
    </row>
    <row r="85" spans="3:20" x14ac:dyDescent="0.45">
      <c r="C85" s="19"/>
      <c r="D85" s="15">
        <v>27.473070000000007</v>
      </c>
      <c r="E85">
        <v>11</v>
      </c>
      <c r="F85">
        <v>121</v>
      </c>
      <c r="G85">
        <v>11</v>
      </c>
      <c r="H85">
        <v>9.0909090909090912E-2</v>
      </c>
      <c r="I85">
        <v>3.313206252144453</v>
      </c>
      <c r="J85">
        <v>2.3978952727983707</v>
      </c>
      <c r="K85" s="21"/>
      <c r="L85" s="19"/>
      <c r="M85" s="7">
        <v>81.523255813953483</v>
      </c>
      <c r="N85">
        <v>11</v>
      </c>
      <c r="O85">
        <v>121</v>
      </c>
      <c r="P85">
        <v>11</v>
      </c>
      <c r="Q85">
        <v>9.0909090909090912E-2</v>
      </c>
      <c r="R85">
        <v>4.40088832695346</v>
      </c>
      <c r="S85">
        <v>2.3978952727983707</v>
      </c>
      <c r="T85" s="21"/>
    </row>
    <row r="86" spans="3:20" x14ac:dyDescent="0.45">
      <c r="C86" s="19"/>
      <c r="D86" s="15">
        <v>27.720430000000004</v>
      </c>
      <c r="E86">
        <v>12</v>
      </c>
      <c r="F86">
        <v>144</v>
      </c>
      <c r="G86">
        <v>12</v>
      </c>
      <c r="H86">
        <v>8.3333333333333329E-2</v>
      </c>
      <c r="I86">
        <v>3.3221696864669008</v>
      </c>
      <c r="J86">
        <v>2.4849066497880004</v>
      </c>
      <c r="K86" s="21"/>
      <c r="L86" s="19"/>
      <c r="M86" s="7">
        <v>82.642864864864862</v>
      </c>
      <c r="N86">
        <v>12</v>
      </c>
      <c r="O86">
        <v>144</v>
      </c>
      <c r="P86">
        <v>12</v>
      </c>
      <c r="Q86">
        <v>8.3333333333333329E-2</v>
      </c>
      <c r="R86">
        <v>4.4145284910167089</v>
      </c>
      <c r="S86">
        <v>2.4849066497880004</v>
      </c>
      <c r="T86" s="21"/>
    </row>
    <row r="87" spans="3:20" x14ac:dyDescent="0.45">
      <c r="C87" s="19"/>
      <c r="D87" s="15">
        <v>28.601160000000007</v>
      </c>
      <c r="E87">
        <v>13</v>
      </c>
      <c r="F87">
        <v>169</v>
      </c>
      <c r="G87">
        <v>13</v>
      </c>
      <c r="H87">
        <v>7.6923076923076927E-2</v>
      </c>
      <c r="I87">
        <v>3.3534472764438545</v>
      </c>
      <c r="J87">
        <v>2.5649493574615367</v>
      </c>
      <c r="K87" s="21"/>
      <c r="L87" s="19"/>
      <c r="M87" s="7">
        <v>96.590656370656376</v>
      </c>
      <c r="N87">
        <v>13</v>
      </c>
      <c r="O87">
        <v>169</v>
      </c>
      <c r="P87">
        <v>13</v>
      </c>
      <c r="Q87">
        <v>7.6923076923076927E-2</v>
      </c>
      <c r="R87">
        <v>4.5704820115988678</v>
      </c>
      <c r="S87">
        <v>2.5649493574615367</v>
      </c>
      <c r="T87" s="21"/>
    </row>
    <row r="88" spans="3:20" x14ac:dyDescent="0.45">
      <c r="C88" s="19"/>
      <c r="D88" s="15">
        <v>28.826500000000006</v>
      </c>
      <c r="E88">
        <v>14</v>
      </c>
      <c r="F88">
        <v>196</v>
      </c>
      <c r="G88">
        <v>14</v>
      </c>
      <c r="H88">
        <v>7.1428571428571425E-2</v>
      </c>
      <c r="I88">
        <v>3.3612951029625031</v>
      </c>
      <c r="J88">
        <v>2.6390573296152584</v>
      </c>
      <c r="K88" s="21"/>
      <c r="L88" s="19"/>
      <c r="M88" s="7">
        <v>96.885158914728677</v>
      </c>
      <c r="N88">
        <v>14</v>
      </c>
      <c r="O88">
        <v>196</v>
      </c>
      <c r="P88">
        <v>14</v>
      </c>
      <c r="Q88">
        <v>7.1428571428571425E-2</v>
      </c>
      <c r="R88">
        <v>4.5735263483919875</v>
      </c>
      <c r="S88">
        <v>2.6390573296152584</v>
      </c>
      <c r="T88" s="21"/>
    </row>
    <row r="89" spans="3:20" x14ac:dyDescent="0.45">
      <c r="C89" s="19"/>
      <c r="D89" s="15">
        <v>29.157740000000015</v>
      </c>
      <c r="E89">
        <v>15</v>
      </c>
      <c r="F89">
        <v>225</v>
      </c>
      <c r="G89">
        <v>15</v>
      </c>
      <c r="H89">
        <v>6.6666666666666666E-2</v>
      </c>
      <c r="I89">
        <v>3.3727204007075566</v>
      </c>
      <c r="J89">
        <v>2.7080502011022101</v>
      </c>
      <c r="K89" s="21"/>
      <c r="L89" s="19"/>
      <c r="M89" s="7">
        <v>96.38869260700389</v>
      </c>
      <c r="N89">
        <v>15</v>
      </c>
      <c r="O89">
        <v>225</v>
      </c>
      <c r="P89">
        <v>15</v>
      </c>
      <c r="Q89">
        <v>6.6666666666666666E-2</v>
      </c>
      <c r="R89">
        <v>4.5683888981288714</v>
      </c>
      <c r="S89">
        <v>2.7080502011022101</v>
      </c>
      <c r="T89" s="21"/>
    </row>
    <row r="90" spans="3:20" x14ac:dyDescent="0.45">
      <c r="C90" s="19"/>
      <c r="D90" s="15">
        <v>29.643969999999999</v>
      </c>
      <c r="E90">
        <v>16</v>
      </c>
      <c r="F90">
        <v>256</v>
      </c>
      <c r="G90">
        <v>16</v>
      </c>
      <c r="H90">
        <v>6.25E-2</v>
      </c>
      <c r="I90">
        <v>3.389258732079425</v>
      </c>
      <c r="J90">
        <v>2.7725887222397811</v>
      </c>
      <c r="K90" s="21"/>
      <c r="L90" s="19"/>
      <c r="M90" s="7">
        <v>93.402437984496117</v>
      </c>
      <c r="N90">
        <v>16</v>
      </c>
      <c r="O90">
        <v>256</v>
      </c>
      <c r="P90">
        <v>16</v>
      </c>
      <c r="Q90">
        <v>6.25E-2</v>
      </c>
      <c r="R90">
        <v>4.5369174475118612</v>
      </c>
      <c r="S90">
        <v>2.7725887222397811</v>
      </c>
      <c r="T90" s="21"/>
    </row>
    <row r="91" spans="3:20" x14ac:dyDescent="0.45">
      <c r="C91" s="19"/>
      <c r="D91" s="15">
        <v>30.23465000000003</v>
      </c>
      <c r="E91">
        <v>17</v>
      </c>
      <c r="F91">
        <v>289</v>
      </c>
      <c r="G91">
        <v>17</v>
      </c>
      <c r="H91">
        <v>5.8823529411764705E-2</v>
      </c>
      <c r="I91">
        <v>3.4089886176700817</v>
      </c>
      <c r="J91">
        <v>2.8332133440562162</v>
      </c>
      <c r="K91" s="21"/>
      <c r="L91" s="19"/>
      <c r="M91" s="7">
        <v>97.158903100775191</v>
      </c>
      <c r="N91">
        <v>17</v>
      </c>
      <c r="O91">
        <v>289</v>
      </c>
      <c r="P91">
        <v>17</v>
      </c>
      <c r="Q91">
        <v>5.8823529411764705E-2</v>
      </c>
      <c r="R91">
        <v>4.5763478144528618</v>
      </c>
      <c r="S91">
        <v>2.8332133440562162</v>
      </c>
      <c r="T91" s="21"/>
    </row>
    <row r="92" spans="3:20" x14ac:dyDescent="0.45">
      <c r="C92" s="19"/>
      <c r="D92" s="15">
        <v>30.380080000000014</v>
      </c>
      <c r="E92">
        <v>18</v>
      </c>
      <c r="F92">
        <v>324</v>
      </c>
      <c r="G92">
        <v>18</v>
      </c>
      <c r="H92">
        <v>5.5555555555555552E-2</v>
      </c>
      <c r="I92">
        <v>3.4137871304755492</v>
      </c>
      <c r="J92">
        <v>2.8903717578961645</v>
      </c>
      <c r="K92" s="21"/>
      <c r="L92" s="19"/>
      <c r="M92" s="8">
        <v>95.35642</v>
      </c>
      <c r="N92">
        <v>18</v>
      </c>
      <c r="O92">
        <v>324</v>
      </c>
      <c r="P92">
        <v>18</v>
      </c>
      <c r="Q92">
        <v>5.5555555555555552E-2</v>
      </c>
      <c r="R92">
        <v>4.5576216606660145</v>
      </c>
      <c r="S92">
        <v>2.8903717578961645</v>
      </c>
      <c r="T92" s="21"/>
    </row>
    <row r="93" spans="3:20" x14ac:dyDescent="0.45">
      <c r="C93" s="19"/>
      <c r="K93" s="21"/>
      <c r="L93" s="19"/>
      <c r="T93" s="21"/>
    </row>
    <row r="94" spans="3:20" x14ac:dyDescent="0.45">
      <c r="C94" s="19"/>
      <c r="K94" s="21"/>
      <c r="L94" s="19"/>
      <c r="T94" s="21"/>
    </row>
    <row r="95" spans="3:20" x14ac:dyDescent="0.45">
      <c r="C95" s="19"/>
      <c r="D95" s="30" t="s">
        <v>48</v>
      </c>
      <c r="H95" t="s">
        <v>57</v>
      </c>
      <c r="K95" s="21"/>
      <c r="L95" s="19"/>
      <c r="M95" s="61" t="s">
        <v>48</v>
      </c>
      <c r="Q95" s="60" t="s">
        <v>57</v>
      </c>
      <c r="T95" s="21"/>
    </row>
    <row r="96" spans="3:20" x14ac:dyDescent="0.45">
      <c r="C96" s="19"/>
      <c r="D96" cm="1">
        <f t="array" ref="D96:F100">LINEST(D75:D92,E75:F92,1,1)</f>
        <v>2.6299732327141466E-2</v>
      </c>
      <c r="E96">
        <v>-0.26206373774509878</v>
      </c>
      <c r="F96">
        <v>27.081754093137256</v>
      </c>
      <c r="H96" cm="1">
        <f t="array" ref="H96:I100">LINEST(_xlfn.ANCHORARRAY(I75),E75:E92,1,1)</f>
        <v>8.4697105734925521E-3</v>
      </c>
      <c r="I96">
        <v>3.2387153246586742</v>
      </c>
      <c r="K96" s="21"/>
      <c r="L96" s="19"/>
      <c r="M96" cm="1">
        <f t="array" ref="M96:O100">LINEST(M75:M92,N75:O92,1,1)</f>
        <v>0.20739413764642742</v>
      </c>
      <c r="N96">
        <v>-3.2991408773007711</v>
      </c>
      <c r="O96">
        <v>94.502888570003336</v>
      </c>
      <c r="Q96" cm="1">
        <f t="array" ref="Q96:R100">LINEST(_xlfn.ANCHORARRAY(R75),N75:N92,1,1)</f>
        <v>7.1804127343190454E-3</v>
      </c>
      <c r="R96">
        <v>4.3994481068244395</v>
      </c>
      <c r="T96" s="21"/>
    </row>
    <row r="97" spans="3:20" x14ac:dyDescent="0.45">
      <c r="C97" s="19"/>
      <c r="D97">
        <v>3.5467561502366238E-3</v>
      </c>
      <c r="E97">
        <v>6.9350949597103098E-2</v>
      </c>
      <c r="F97">
        <v>0.28618315086919516</v>
      </c>
      <c r="G97" t="s">
        <v>59</v>
      </c>
      <c r="H97">
        <v>1.2297519065206997E-3</v>
      </c>
      <c r="I97">
        <v>1.3311271510570039E-2</v>
      </c>
      <c r="J97" t="s">
        <v>59</v>
      </c>
      <c r="K97" s="21"/>
      <c r="L97" s="19"/>
      <c r="M97">
        <v>4.599352553665028E-2</v>
      </c>
      <c r="N97">
        <v>0.89932731097752672</v>
      </c>
      <c r="O97">
        <v>3.7111578862796128</v>
      </c>
      <c r="P97" t="s">
        <v>59</v>
      </c>
      <c r="Q97">
        <v>3.6272438482322623E-3</v>
      </c>
      <c r="R97">
        <v>3.9262576006465266E-2</v>
      </c>
      <c r="S97" t="s">
        <v>59</v>
      </c>
      <c r="T97" s="21"/>
    </row>
    <row r="98" spans="3:20" x14ac:dyDescent="0.45">
      <c r="C98" s="19"/>
      <c r="D98" s="25">
        <v>0.94650570028002579</v>
      </c>
      <c r="E98">
        <v>0.36058493715073314</v>
      </c>
      <c r="F98" t="e">
        <v>#N/A</v>
      </c>
      <c r="G98" s="26">
        <f>E98/AVERAGE(D75:D92)</f>
        <v>1.3029924907199855E-2</v>
      </c>
      <c r="H98" s="25">
        <v>0.74777471218877334</v>
      </c>
      <c r="I98">
        <v>2.7068512789696873E-2</v>
      </c>
      <c r="J98" s="26">
        <f>I98/AVERAGE(D75:D92)</f>
        <v>9.7813483776193282E-4</v>
      </c>
      <c r="K98" s="21"/>
      <c r="L98" s="19"/>
      <c r="M98" s="25">
        <v>0.66252286751472445</v>
      </c>
      <c r="N98">
        <v>4.6759832964178365</v>
      </c>
      <c r="O98" t="e">
        <v>#N/A</v>
      </c>
      <c r="P98" s="26">
        <f>N98/AVERAGE(M75:M92)</f>
        <v>5.3463803638730545E-2</v>
      </c>
      <c r="Q98" s="25">
        <v>0.19673592541951188</v>
      </c>
      <c r="R98">
        <v>7.9840572701378135E-2</v>
      </c>
      <c r="S98" s="26">
        <f>R98/AVERAGE(M75:M92)</f>
        <v>9.128733852792701E-4</v>
      </c>
      <c r="T98" s="21"/>
    </row>
    <row r="99" spans="3:20" x14ac:dyDescent="0.45">
      <c r="C99" s="19"/>
      <c r="D99">
        <v>132.70185401547712</v>
      </c>
      <c r="E99">
        <v>15</v>
      </c>
      <c r="F99" t="e">
        <v>#N/A</v>
      </c>
      <c r="H99">
        <v>47.435352334595819</v>
      </c>
      <c r="I99">
        <v>16</v>
      </c>
      <c r="K99" s="21"/>
      <c r="L99" s="19"/>
      <c r="M99">
        <v>14.723728004229242</v>
      </c>
      <c r="N99">
        <v>15</v>
      </c>
      <c r="O99" t="e">
        <v>#N/A</v>
      </c>
      <c r="Q99">
        <v>3.9187297257830731</v>
      </c>
      <c r="R99">
        <v>16</v>
      </c>
      <c r="T99" s="21"/>
    </row>
    <row r="100" spans="3:20" x14ac:dyDescent="0.45">
      <c r="C100" s="19"/>
      <c r="D100">
        <v>34.508187400994736</v>
      </c>
      <c r="E100">
        <v>1.9503224534999726</v>
      </c>
      <c r="F100" t="e">
        <v>#N/A</v>
      </c>
      <c r="H100">
        <v>3.4756090642785432E-2</v>
      </c>
      <c r="I100">
        <v>1.1723270154335731E-2</v>
      </c>
      <c r="K100" s="21"/>
      <c r="L100" s="19"/>
      <c r="M100">
        <v>643.8633188511518</v>
      </c>
      <c r="N100">
        <v>327.97229682567922</v>
      </c>
      <c r="O100" t="e">
        <v>#N/A</v>
      </c>
      <c r="Q100">
        <v>2.4980009448540397E-2</v>
      </c>
      <c r="R100">
        <v>0.10199227278854475</v>
      </c>
      <c r="T100" s="21"/>
    </row>
    <row r="101" spans="3:20" x14ac:dyDescent="0.45">
      <c r="C101" s="19"/>
      <c r="D101">
        <f>_xlfn.T.DIST.2T(ABS(D96/D97),E99)</f>
        <v>2.1650871413857359E-6</v>
      </c>
      <c r="E101">
        <f>_xlfn.T.DIST.2T(ABS(E96/E97),E99)</f>
        <v>1.8204437364467859E-3</v>
      </c>
      <c r="H101">
        <f>_xlfn.T.DIST.2T(ABS(H96/H97),I99)</f>
        <v>3.6533973630739361E-6</v>
      </c>
      <c r="I101">
        <f>_xlfn.T.DIST.2T(ABS(I96/I97),I99)</f>
        <v>5.5811021027893985E-30</v>
      </c>
      <c r="K101" s="21"/>
      <c r="L101" s="19"/>
      <c r="M101">
        <f>_xlfn.T.DIST.2T(ABS(M96/M97),N99)</f>
        <v>4.1560623743029315E-4</v>
      </c>
      <c r="N101">
        <f>_xlfn.T.DIST.2T(ABS(N96/N97),N99)</f>
        <v>2.2818945781871124E-3</v>
      </c>
      <c r="Q101">
        <f>_xlfn.T.DIST.2T(ABS(Q96/Q97),R99)</f>
        <v>6.5221382786465595E-2</v>
      </c>
      <c r="R101">
        <f>_xlfn.T.DIST.2T(ABS(R96/R97),R99)</f>
        <v>1.3525990521657613E-24</v>
      </c>
      <c r="T101" s="21"/>
    </row>
    <row r="102" spans="3:20" x14ac:dyDescent="0.45">
      <c r="C102" s="19"/>
      <c r="K102" s="21"/>
      <c r="L102" s="19"/>
      <c r="T102" s="21"/>
    </row>
    <row r="103" spans="3:20" x14ac:dyDescent="0.45">
      <c r="C103" s="19"/>
      <c r="K103" s="21"/>
      <c r="L103" s="19"/>
      <c r="T103" s="21"/>
    </row>
    <row r="104" spans="3:20" x14ac:dyDescent="0.45">
      <c r="C104" s="19"/>
      <c r="D104" t="s">
        <v>54</v>
      </c>
      <c r="H104" t="s">
        <v>58</v>
      </c>
      <c r="K104" s="21"/>
      <c r="L104" s="19"/>
      <c r="M104" t="s">
        <v>54</v>
      </c>
      <c r="Q104" t="s">
        <v>58</v>
      </c>
      <c r="T104" s="21"/>
    </row>
    <row r="105" spans="3:20" x14ac:dyDescent="0.45">
      <c r="C105" s="19"/>
      <c r="D105" cm="1">
        <f t="array" ref="D105:F109">LINEST(D75:D92,G75:H92,1,1)</f>
        <v>4.0089157164559532</v>
      </c>
      <c r="E105">
        <v>0.36343026275548046</v>
      </c>
      <c r="F105">
        <v>23.442591186856642</v>
      </c>
      <c r="H105" cm="1">
        <f t="array" ref="H105:I109">LINEST(_xlfn.ANCHORARRAY(I75),J75:J92,1,1)</f>
        <v>4.1580165606797316E-2</v>
      </c>
      <c r="I105">
        <v>3.2351037618244574</v>
      </c>
      <c r="K105" s="21"/>
      <c r="L105" s="19"/>
      <c r="M105" cm="1">
        <f t="array" ref="M105:O109">LINEST(M75:M92,P75:Q92,1,1)</f>
        <v>31.302703882236901</v>
      </c>
      <c r="N105">
        <v>1.6236212067069908</v>
      </c>
      <c r="O105">
        <v>65.958198943491951</v>
      </c>
      <c r="Q105" cm="1">
        <f t="array" ref="Q105:R109">LINEST(_xlfn.ANCHORARRAY(R75),S75:S92,1,1)</f>
        <v>1.667462551584303E-2</v>
      </c>
      <c r="R105">
        <v>4.4339464489490075</v>
      </c>
      <c r="T105" s="21"/>
    </row>
    <row r="106" spans="3:20" x14ac:dyDescent="0.45">
      <c r="C106" s="19"/>
      <c r="D106">
        <v>0.56800922410829113</v>
      </c>
      <c r="E106">
        <v>2.464692488544705E-2</v>
      </c>
      <c r="F106">
        <v>0.33487219458398904</v>
      </c>
      <c r="G106" t="s">
        <v>59</v>
      </c>
      <c r="H106">
        <v>1.2558577630338437E-2</v>
      </c>
      <c r="I106">
        <v>2.7213572311355773E-2</v>
      </c>
      <c r="J106" t="s">
        <v>59</v>
      </c>
      <c r="K106" s="21"/>
      <c r="L106" s="19"/>
      <c r="M106">
        <v>7.282313779500849</v>
      </c>
      <c r="N106">
        <v>0.31599247529366575</v>
      </c>
      <c r="O106">
        <v>4.2933183009819302</v>
      </c>
      <c r="P106" t="s">
        <v>59</v>
      </c>
      <c r="Q106">
        <v>2.6620773541781585E-2</v>
      </c>
      <c r="R106">
        <v>5.7685381823289875E-2</v>
      </c>
      <c r="S106" t="s">
        <v>59</v>
      </c>
      <c r="T106" s="21"/>
    </row>
    <row r="107" spans="3:20" x14ac:dyDescent="0.45">
      <c r="C107" s="19"/>
      <c r="D107" s="25">
        <v>0.94223739994413791</v>
      </c>
      <c r="E107">
        <v>0.37469439310437919</v>
      </c>
      <c r="F107" t="e">
        <v>#N/A</v>
      </c>
      <c r="G107" s="26">
        <f>E107/AVERAGE(D75:D92)</f>
        <v>1.3539777462356923E-2</v>
      </c>
      <c r="H107" s="25">
        <v>0.40657316978153712</v>
      </c>
      <c r="I107">
        <v>4.1519648773514377E-2</v>
      </c>
      <c r="J107" s="26">
        <f>I107/AVERAGE(D75:D92)</f>
        <v>1.5003341791453002E-3</v>
      </c>
      <c r="K107" s="21"/>
      <c r="L107" s="19"/>
      <c r="M107" s="25">
        <v>0.643810727358753</v>
      </c>
      <c r="N107">
        <v>4.8038694200598258</v>
      </c>
      <c r="O107" t="e">
        <v>#N/A</v>
      </c>
      <c r="P107" s="26">
        <f>N107/AVERAGE(M75:M92)</f>
        <v>5.4926015577714933E-2</v>
      </c>
      <c r="Q107" s="25">
        <v>2.3934793538203509E-2</v>
      </c>
      <c r="R107">
        <v>8.8010378250474669E-2</v>
      </c>
      <c r="S107" s="26">
        <f>R107/AVERAGE(M75:M92)</f>
        <v>1.0062845144375204E-3</v>
      </c>
      <c r="T107" s="21"/>
    </row>
    <row r="108" spans="3:20" x14ac:dyDescent="0.45">
      <c r="C108" s="19"/>
      <c r="D108">
        <v>122.34180062439646</v>
      </c>
      <c r="E108">
        <v>15</v>
      </c>
      <c r="F108" t="e">
        <v>#N/A</v>
      </c>
      <c r="H108">
        <v>10.962043482445502</v>
      </c>
      <c r="I108">
        <v>16</v>
      </c>
      <c r="K108" s="21"/>
      <c r="L108" s="19"/>
      <c r="M108">
        <v>13.556220880503558</v>
      </c>
      <c r="N108">
        <v>15</v>
      </c>
      <c r="O108" t="e">
        <v>#N/A</v>
      </c>
      <c r="Q108">
        <v>0.39234745186693137</v>
      </c>
      <c r="R108">
        <v>16</v>
      </c>
      <c r="T108" s="21"/>
    </row>
    <row r="109" spans="3:20" x14ac:dyDescent="0.45">
      <c r="C109" s="19"/>
      <c r="D109">
        <v>34.352571531136824</v>
      </c>
      <c r="E109">
        <v>2.1059383233578854</v>
      </c>
      <c r="F109" t="e">
        <v>#N/A</v>
      </c>
      <c r="H109">
        <v>1.8897261048705264E-2</v>
      </c>
      <c r="I109">
        <v>2.7582099748415901E-2</v>
      </c>
      <c r="K109" s="21"/>
      <c r="L109" s="19"/>
      <c r="M109">
        <v>625.67819460204214</v>
      </c>
      <c r="N109">
        <v>346.15742107478894</v>
      </c>
      <c r="O109" t="e">
        <v>#N/A</v>
      </c>
      <c r="Q109">
        <v>3.0390553604191378E-3</v>
      </c>
      <c r="R109">
        <v>0.12393322687666601</v>
      </c>
      <c r="T109" s="21"/>
    </row>
    <row r="110" spans="3:20" x14ac:dyDescent="0.45">
      <c r="C110" s="19"/>
      <c r="D110">
        <f>_xlfn.T.DIST.2T(ABS(D105/D106),E108)</f>
        <v>3.8870805020933119E-6</v>
      </c>
      <c r="E110">
        <f>_xlfn.T.DIST.2T(ABS(E105/E106),E108)</f>
        <v>2.471231658605526E-10</v>
      </c>
      <c r="H110">
        <f>_xlfn.T.DIST.2T(ABS(H105/H106),$I$62)</f>
        <v>4.4167230027214411E-3</v>
      </c>
      <c r="I110">
        <f>_xlfn.T.DIST.2T(ABS(I105/I106),I108)</f>
        <v>5.2565761298230041E-25</v>
      </c>
      <c r="K110" s="21"/>
      <c r="L110" s="19"/>
      <c r="M110">
        <f>_xlfn.T.DIST.2T(ABS(M105/M106),N108)</f>
        <v>6.3376966950260565E-4</v>
      </c>
      <c r="N110">
        <f>_xlfn.T.DIST.2T(ABS(N105/N106),N108)</f>
        <v>1.2131335120955803E-4</v>
      </c>
      <c r="Q110">
        <f>_xlfn.T.DIST.2T(ABS(Q105/Q106),$I$62)</f>
        <v>0.53990247665702396</v>
      </c>
      <c r="R110">
        <f>_xlfn.T.DIST.2T(ABS(R105/R106),R108)</f>
        <v>5.5665916239161487E-22</v>
      </c>
      <c r="T110" s="21"/>
    </row>
    <row r="111" spans="3:20" x14ac:dyDescent="0.45">
      <c r="C111" s="19"/>
      <c r="K111" s="21"/>
      <c r="L111" s="19"/>
      <c r="T111" s="21"/>
    </row>
    <row r="112" spans="3:20" ht="14.65" thickBot="1" x14ac:dyDescent="0.5">
      <c r="C112" s="27"/>
      <c r="D112" s="28"/>
      <c r="E112" s="28"/>
      <c r="F112" s="28"/>
      <c r="G112" s="28"/>
      <c r="H112" s="28"/>
      <c r="I112" s="28"/>
      <c r="J112" s="28"/>
      <c r="K112" s="29"/>
      <c r="L112" s="27"/>
      <c r="M112" s="28"/>
      <c r="N112" s="28"/>
      <c r="O112" s="28"/>
      <c r="P112" s="28"/>
      <c r="Q112" s="28"/>
      <c r="R112" s="28"/>
      <c r="S112" s="28"/>
      <c r="T112" s="29"/>
    </row>
    <row r="113" spans="3:11" x14ac:dyDescent="0.45">
      <c r="C113" s="16"/>
      <c r="D113" s="17"/>
      <c r="E113" s="17"/>
      <c r="F113" s="17"/>
      <c r="G113" s="17"/>
      <c r="H113" s="17"/>
      <c r="I113" s="17"/>
      <c r="J113" s="17"/>
      <c r="K113" s="18"/>
    </row>
    <row r="114" spans="3:11" x14ac:dyDescent="0.45">
      <c r="C114" s="19"/>
      <c r="D114" s="31" t="s">
        <v>63</v>
      </c>
      <c r="E114" s="31"/>
      <c r="F114" s="31"/>
      <c r="K114" s="21"/>
    </row>
    <row r="115" spans="3:11" x14ac:dyDescent="0.45">
      <c r="C115" s="19"/>
      <c r="D115" s="20"/>
      <c r="E115" s="20"/>
      <c r="F115" s="20"/>
      <c r="K115" s="21"/>
    </row>
    <row r="116" spans="3:11" x14ac:dyDescent="0.45">
      <c r="C116" s="19"/>
      <c r="D116" t="s">
        <v>69</v>
      </c>
      <c r="E116" t="s">
        <v>45</v>
      </c>
      <c r="F116" t="s">
        <v>49</v>
      </c>
      <c r="G116" t="s">
        <v>45</v>
      </c>
      <c r="H116" t="s">
        <v>47</v>
      </c>
      <c r="I116" t="s">
        <v>51</v>
      </c>
      <c r="J116" t="s">
        <v>52</v>
      </c>
      <c r="K116" s="21"/>
    </row>
    <row r="117" spans="3:11" x14ac:dyDescent="0.45">
      <c r="C117" s="19"/>
      <c r="D117" s="22" t="s">
        <v>37</v>
      </c>
      <c r="E117" s="23" t="s">
        <v>44</v>
      </c>
      <c r="F117" s="23" t="s">
        <v>46</v>
      </c>
      <c r="G117" s="23" t="s">
        <v>44</v>
      </c>
      <c r="H117" s="24" t="s">
        <v>50</v>
      </c>
      <c r="I117" s="24" t="s">
        <v>53</v>
      </c>
      <c r="J117" s="24" t="s">
        <v>56</v>
      </c>
      <c r="K117" s="21"/>
    </row>
    <row r="118" spans="3:11" x14ac:dyDescent="0.45">
      <c r="C118" s="19"/>
      <c r="D118" s="15">
        <v>4.01</v>
      </c>
      <c r="E118">
        <v>1</v>
      </c>
      <c r="F118">
        <v>1</v>
      </c>
      <c r="G118">
        <v>1</v>
      </c>
      <c r="H118">
        <v>1</v>
      </c>
      <c r="I118" cm="1">
        <f t="array" ref="I118:I135">LN(D118:D135)</f>
        <v>1.3887912413184778</v>
      </c>
      <c r="J118">
        <v>0</v>
      </c>
      <c r="K118" s="21"/>
    </row>
    <row r="119" spans="3:11" x14ac:dyDescent="0.45">
      <c r="C119" s="19"/>
      <c r="D119" s="15">
        <v>4.2699999999999996</v>
      </c>
      <c r="E119">
        <v>2</v>
      </c>
      <c r="F119">
        <v>4</v>
      </c>
      <c r="G119">
        <v>2</v>
      </c>
      <c r="H119">
        <v>0.5</v>
      </c>
      <c r="I119">
        <v>1.451613827240533</v>
      </c>
      <c r="J119">
        <v>0.69314718055994529</v>
      </c>
      <c r="K119" s="21"/>
    </row>
    <row r="120" spans="3:11" x14ac:dyDescent="0.45">
      <c r="C120" s="19"/>
      <c r="D120" s="15">
        <v>4.29</v>
      </c>
      <c r="E120">
        <v>3</v>
      </c>
      <c r="F120">
        <v>9</v>
      </c>
      <c r="G120">
        <v>3</v>
      </c>
      <c r="H120">
        <v>0.33333333333333331</v>
      </c>
      <c r="I120">
        <v>1.4562867329399256</v>
      </c>
      <c r="J120">
        <v>1.0986122886681098</v>
      </c>
      <c r="K120" s="21"/>
    </row>
    <row r="121" spans="3:11" x14ac:dyDescent="0.45">
      <c r="C121" s="19"/>
      <c r="D121" s="15">
        <v>4.8</v>
      </c>
      <c r="E121">
        <v>4</v>
      </c>
      <c r="F121">
        <v>16</v>
      </c>
      <c r="G121">
        <v>4</v>
      </c>
      <c r="H121">
        <v>0.25</v>
      </c>
      <c r="I121">
        <v>1.5686159179138452</v>
      </c>
      <c r="J121">
        <v>1.3862943611198906</v>
      </c>
      <c r="K121" s="21"/>
    </row>
    <row r="122" spans="3:11" x14ac:dyDescent="0.45">
      <c r="C122" s="19"/>
      <c r="D122" s="15">
        <v>4.63</v>
      </c>
      <c r="E122">
        <v>5</v>
      </c>
      <c r="F122">
        <v>25</v>
      </c>
      <c r="G122">
        <v>5</v>
      </c>
      <c r="H122">
        <v>0.2</v>
      </c>
      <c r="I122">
        <v>1.5325568680981427</v>
      </c>
      <c r="J122">
        <v>1.6094379124341003</v>
      </c>
      <c r="K122" s="21"/>
    </row>
    <row r="123" spans="3:11" x14ac:dyDescent="0.45">
      <c r="C123" s="19"/>
      <c r="D123" s="15">
        <v>3.66</v>
      </c>
      <c r="E123">
        <v>6</v>
      </c>
      <c r="F123">
        <v>36</v>
      </c>
      <c r="G123">
        <v>6</v>
      </c>
      <c r="H123">
        <v>0.16666666666666666</v>
      </c>
      <c r="I123">
        <v>1.297463147413275</v>
      </c>
      <c r="J123">
        <v>1.791759469228055</v>
      </c>
      <c r="K123" s="21"/>
    </row>
    <row r="124" spans="3:11" x14ac:dyDescent="0.45">
      <c r="C124" s="19"/>
      <c r="D124" s="15">
        <v>3.26</v>
      </c>
      <c r="E124">
        <v>7</v>
      </c>
      <c r="F124">
        <v>49</v>
      </c>
      <c r="G124">
        <v>7</v>
      </c>
      <c r="H124">
        <v>0.14285714285714285</v>
      </c>
      <c r="I124">
        <v>1.1817271953786161</v>
      </c>
      <c r="J124">
        <v>1.9459101490553132</v>
      </c>
      <c r="K124" s="21"/>
    </row>
    <row r="125" spans="3:11" x14ac:dyDescent="0.45">
      <c r="C125" s="19"/>
      <c r="D125" s="15">
        <v>3.2199999999999998</v>
      </c>
      <c r="E125">
        <v>8</v>
      </c>
      <c r="F125">
        <v>64</v>
      </c>
      <c r="G125">
        <v>8</v>
      </c>
      <c r="H125">
        <v>0.125</v>
      </c>
      <c r="I125">
        <v>1.1693813595563169</v>
      </c>
      <c r="J125">
        <v>2.0794415416798357</v>
      </c>
      <c r="K125" s="21"/>
    </row>
    <row r="126" spans="3:11" x14ac:dyDescent="0.45">
      <c r="C126" s="19"/>
      <c r="D126" s="15">
        <v>2.78</v>
      </c>
      <c r="E126">
        <v>9</v>
      </c>
      <c r="F126">
        <v>81</v>
      </c>
      <c r="G126">
        <v>9</v>
      </c>
      <c r="H126">
        <v>0.1111111111111111</v>
      </c>
      <c r="I126">
        <v>1.0224509277025455</v>
      </c>
      <c r="J126">
        <v>2.1972245773362196</v>
      </c>
      <c r="K126" s="21"/>
    </row>
    <row r="127" spans="3:11" x14ac:dyDescent="0.45">
      <c r="C127" s="19"/>
      <c r="D127" s="15">
        <v>1.8000000000000003</v>
      </c>
      <c r="E127">
        <v>10</v>
      </c>
      <c r="F127">
        <v>100</v>
      </c>
      <c r="G127">
        <v>10</v>
      </c>
      <c r="H127">
        <v>0.1</v>
      </c>
      <c r="I127">
        <v>0.58778666490211917</v>
      </c>
      <c r="J127">
        <v>2.3025850929940459</v>
      </c>
      <c r="K127" s="21"/>
    </row>
    <row r="128" spans="3:11" x14ac:dyDescent="0.45">
      <c r="C128" s="19"/>
      <c r="D128" s="15">
        <v>2.35</v>
      </c>
      <c r="E128">
        <v>11</v>
      </c>
      <c r="F128">
        <v>121</v>
      </c>
      <c r="G128">
        <v>11</v>
      </c>
      <c r="H128">
        <v>9.0909090909090912E-2</v>
      </c>
      <c r="I128">
        <v>0.85441532815606758</v>
      </c>
      <c r="J128">
        <v>2.3978952727983707</v>
      </c>
      <c r="K128" s="21"/>
    </row>
    <row r="129" spans="3:11" x14ac:dyDescent="0.45">
      <c r="C129" s="19"/>
      <c r="D129" s="15">
        <v>2.54</v>
      </c>
      <c r="E129">
        <v>12</v>
      </c>
      <c r="F129">
        <v>144</v>
      </c>
      <c r="G129">
        <v>12</v>
      </c>
      <c r="H129">
        <v>8.3333333333333329E-2</v>
      </c>
      <c r="I129">
        <v>0.93216408103044524</v>
      </c>
      <c r="J129">
        <v>2.4849066497880004</v>
      </c>
      <c r="K129" s="21"/>
    </row>
    <row r="130" spans="3:11" x14ac:dyDescent="0.45">
      <c r="C130" s="19"/>
      <c r="D130" s="15">
        <v>2.14</v>
      </c>
      <c r="E130">
        <v>13</v>
      </c>
      <c r="F130">
        <v>169</v>
      </c>
      <c r="G130">
        <v>13</v>
      </c>
      <c r="H130">
        <v>7.6923076923076927E-2</v>
      </c>
      <c r="I130">
        <v>0.76080582903376015</v>
      </c>
      <c r="J130">
        <v>2.5649493574615367</v>
      </c>
      <c r="K130" s="21"/>
    </row>
    <row r="131" spans="3:11" x14ac:dyDescent="0.45">
      <c r="C131" s="19"/>
      <c r="D131" s="15">
        <v>1.8399999999999999</v>
      </c>
      <c r="E131">
        <v>14</v>
      </c>
      <c r="F131">
        <v>196</v>
      </c>
      <c r="G131">
        <v>14</v>
      </c>
      <c r="H131">
        <v>7.1428571428571425E-2</v>
      </c>
      <c r="I131">
        <v>0.60976557162089418</v>
      </c>
      <c r="J131">
        <v>2.6390573296152584</v>
      </c>
      <c r="K131" s="21"/>
    </row>
    <row r="132" spans="3:11" x14ac:dyDescent="0.45">
      <c r="C132" s="19"/>
      <c r="D132" s="15">
        <v>2.33</v>
      </c>
      <c r="E132">
        <v>15</v>
      </c>
      <c r="F132">
        <v>225</v>
      </c>
      <c r="G132">
        <v>15</v>
      </c>
      <c r="H132">
        <v>6.6666666666666666E-2</v>
      </c>
      <c r="I132">
        <v>0.84586826757760925</v>
      </c>
      <c r="J132">
        <v>2.7080502011022101</v>
      </c>
      <c r="K132" s="21"/>
    </row>
    <row r="133" spans="3:11" x14ac:dyDescent="0.45">
      <c r="C133" s="19"/>
      <c r="D133" s="15">
        <v>2.91</v>
      </c>
      <c r="E133">
        <v>16</v>
      </c>
      <c r="F133">
        <v>256</v>
      </c>
      <c r="G133">
        <v>16</v>
      </c>
      <c r="H133">
        <v>6.25E-2</v>
      </c>
      <c r="I133">
        <v>1.0681530811834012</v>
      </c>
      <c r="J133">
        <v>2.7725887222397811</v>
      </c>
      <c r="K133" s="21"/>
    </row>
    <row r="134" spans="3:11" x14ac:dyDescent="0.45">
      <c r="C134" s="19"/>
      <c r="D134" s="15">
        <v>2.14</v>
      </c>
      <c r="E134">
        <v>17</v>
      </c>
      <c r="F134">
        <v>289</v>
      </c>
      <c r="G134">
        <v>17</v>
      </c>
      <c r="H134">
        <v>5.8823529411764705E-2</v>
      </c>
      <c r="I134">
        <v>0.76080582903376015</v>
      </c>
      <c r="J134">
        <v>2.8332133440562162</v>
      </c>
      <c r="K134" s="21"/>
    </row>
    <row r="135" spans="3:11" x14ac:dyDescent="0.45">
      <c r="C135" s="19"/>
      <c r="D135" s="15">
        <v>0.89</v>
      </c>
      <c r="E135">
        <v>18</v>
      </c>
      <c r="F135">
        <v>324</v>
      </c>
      <c r="G135">
        <v>18</v>
      </c>
      <c r="H135">
        <v>5.5555555555555552E-2</v>
      </c>
      <c r="I135">
        <v>-0.11653381625595151</v>
      </c>
      <c r="J135">
        <v>2.8903717578961645</v>
      </c>
      <c r="K135" s="21"/>
    </row>
    <row r="136" spans="3:11" x14ac:dyDescent="0.45">
      <c r="C136" s="19"/>
      <c r="K136" s="21"/>
    </row>
    <row r="137" spans="3:11" x14ac:dyDescent="0.45">
      <c r="C137" s="19"/>
      <c r="K137" s="21"/>
    </row>
    <row r="138" spans="3:11" x14ac:dyDescent="0.45">
      <c r="C138" s="19"/>
      <c r="D138" t="s">
        <v>48</v>
      </c>
      <c r="H138" s="30" t="s">
        <v>57</v>
      </c>
      <c r="K138" s="21"/>
    </row>
    <row r="139" spans="3:11" x14ac:dyDescent="0.45">
      <c r="C139" s="19"/>
      <c r="D139" cm="1">
        <f t="array" ref="D139:F143">LINEST(D118:D135,E118:F135,1,1)</f>
        <v>3.5539215686274501E-3</v>
      </c>
      <c r="E139">
        <v>-0.2461003611971104</v>
      </c>
      <c r="F139">
        <v>4.9137745098039218</v>
      </c>
      <c r="H139" cm="1">
        <f t="array" ref="H139:I143">LINEST(_xlfn.ANCHORARRAY(I118),E118:E135,1,1)</f>
        <v>-6.5673589684307726E-2</v>
      </c>
      <c r="I139">
        <v>1.6445723272144668</v>
      </c>
      <c r="K139" s="21"/>
    </row>
    <row r="140" spans="3:11" x14ac:dyDescent="0.45">
      <c r="C140" s="19"/>
      <c r="D140">
        <v>5.6902213337520153E-3</v>
      </c>
      <c r="E140">
        <v>0.11126286561512531</v>
      </c>
      <c r="F140">
        <v>0.4591365747903538</v>
      </c>
      <c r="G140" t="s">
        <v>59</v>
      </c>
      <c r="H140">
        <v>1.1134557457646752E-2</v>
      </c>
      <c r="I140">
        <v>0.12052440551860491</v>
      </c>
      <c r="J140" t="s">
        <v>59</v>
      </c>
      <c r="K140" s="21"/>
    </row>
    <row r="141" spans="3:11" x14ac:dyDescent="0.45">
      <c r="C141" s="19"/>
      <c r="D141" s="25">
        <v>0.75632237642907119</v>
      </c>
      <c r="E141">
        <v>0.57850272617920007</v>
      </c>
      <c r="F141" t="e">
        <v>#N/A</v>
      </c>
      <c r="G141" s="26">
        <f>E141/AVERAGE(D118:D135)</f>
        <v>0.1933354821987672</v>
      </c>
      <c r="H141" s="25">
        <v>0.68496799700664768</v>
      </c>
      <c r="I141">
        <v>0.24508676046915526</v>
      </c>
      <c r="J141" s="26">
        <f>I141/AVERAGE(D118:D135)</f>
        <v>8.1907940743497859E-2</v>
      </c>
      <c r="K141" s="21"/>
    </row>
    <row r="142" spans="3:11" x14ac:dyDescent="0.45">
      <c r="C142" s="19"/>
      <c r="D142">
        <v>23.278369757931117</v>
      </c>
      <c r="E142">
        <v>15</v>
      </c>
      <c r="F142" t="e">
        <v>#N/A</v>
      </c>
      <c r="H142">
        <v>34.788490845286034</v>
      </c>
      <c r="I142">
        <v>16</v>
      </c>
      <c r="K142" s="21"/>
    </row>
    <row r="143" spans="3:11" x14ac:dyDescent="0.45">
      <c r="C143" s="19"/>
      <c r="D143">
        <v>15.580930048159608</v>
      </c>
      <c r="E143">
        <v>5.0199810629514978</v>
      </c>
      <c r="F143" t="e">
        <v>#N/A</v>
      </c>
      <c r="H143">
        <v>2.0896583750900506</v>
      </c>
      <c r="I143">
        <v>0.96108032251624131</v>
      </c>
      <c r="K143" s="21"/>
    </row>
    <row r="144" spans="3:11" x14ac:dyDescent="0.45">
      <c r="C144" s="19"/>
      <c r="D144">
        <f>_xlfn.T.DIST.2T(ABS(D139/D140),E142)</f>
        <v>0.54163984218532268</v>
      </c>
      <c r="E144">
        <f>_xlfn.T.DIST.2T(ABS(E139/E140),E142)</f>
        <v>4.2910589614829228E-2</v>
      </c>
      <c r="H144">
        <f>_xlfn.T.DIST.2T(ABS(H139/H140),I142)</f>
        <v>2.2468409210237282E-5</v>
      </c>
      <c r="I144">
        <f>_xlfn.T.DIST.2T(ABS(I139/I140),I142)</f>
        <v>3.1320859444883704E-10</v>
      </c>
      <c r="K144" s="21"/>
    </row>
    <row r="145" spans="3:11" x14ac:dyDescent="0.45">
      <c r="C145" s="19"/>
      <c r="K145" s="21"/>
    </row>
    <row r="146" spans="3:11" x14ac:dyDescent="0.45">
      <c r="C146" s="19"/>
      <c r="K146" s="21"/>
    </row>
    <row r="147" spans="3:11" x14ac:dyDescent="0.45">
      <c r="C147" s="19"/>
      <c r="D147" t="s">
        <v>54</v>
      </c>
      <c r="H147" t="s">
        <v>58</v>
      </c>
      <c r="K147" s="21"/>
    </row>
    <row r="148" spans="3:11" x14ac:dyDescent="0.45">
      <c r="C148" s="19"/>
      <c r="D148" cm="1">
        <f t="array" ref="D148:F152">LINEST(D118:D135,G118:H135,1,1)</f>
        <v>-0.62308310788599985</v>
      </c>
      <c r="E148">
        <v>-0.1981280922472079</v>
      </c>
      <c r="F148">
        <v>4.9954248098906984</v>
      </c>
      <c r="H148" cm="1">
        <f t="array" ref="H148:I152">LINEST(_xlfn.ANCHORARRAY(I118),J118:J135,1,1)</f>
        <v>-0.38865543497807459</v>
      </c>
      <c r="I148">
        <v>1.8065225356884747</v>
      </c>
      <c r="K148" s="21"/>
    </row>
    <row r="149" spans="3:11" x14ac:dyDescent="0.45">
      <c r="C149" s="19"/>
      <c r="D149">
        <v>0.87360766360362541</v>
      </c>
      <c r="E149">
        <v>3.7907381694358568E-2</v>
      </c>
      <c r="F149">
        <v>0.51503902243066935</v>
      </c>
      <c r="G149" t="s">
        <v>59</v>
      </c>
      <c r="H149">
        <v>8.946332954260397E-2</v>
      </c>
      <c r="I149">
        <v>0.19386087018651446</v>
      </c>
      <c r="J149" t="s">
        <v>59</v>
      </c>
      <c r="K149" s="21"/>
    </row>
    <row r="150" spans="3:11" x14ac:dyDescent="0.45">
      <c r="C150" s="19"/>
      <c r="D150" s="25">
        <v>0.75818607124938053</v>
      </c>
      <c r="E150">
        <v>0.57628622816676012</v>
      </c>
      <c r="F150" t="e">
        <v>#N/A</v>
      </c>
      <c r="G150" s="26">
        <f>E150/AVERAGE(D118:D135)</f>
        <v>0.19259472905684519</v>
      </c>
      <c r="H150" s="25">
        <v>0.54119143238087719</v>
      </c>
      <c r="I150">
        <v>0.2957728279470761</v>
      </c>
      <c r="J150" s="26">
        <f>I150/AVERAGE(D118:D135)</f>
        <v>9.8847213201770701E-2</v>
      </c>
      <c r="K150" s="21"/>
    </row>
    <row r="151" spans="3:11" x14ac:dyDescent="0.45">
      <c r="C151" s="19"/>
      <c r="D151">
        <v>23.515583092133131</v>
      </c>
      <c r="E151">
        <v>15</v>
      </c>
      <c r="F151" t="e">
        <v>#N/A</v>
      </c>
      <c r="H151">
        <v>18.872932044465013</v>
      </c>
      <c r="I151">
        <v>16</v>
      </c>
      <c r="K151" s="21"/>
    </row>
    <row r="152" spans="3:11" x14ac:dyDescent="0.45">
      <c r="C152" s="19"/>
      <c r="D152">
        <v>15.61932385949104</v>
      </c>
      <c r="E152">
        <v>4.9815872516200663</v>
      </c>
      <c r="F152" t="e">
        <v>#N/A</v>
      </c>
      <c r="H152">
        <v>1.6510336455773209</v>
      </c>
      <c r="I152">
        <v>1.3997050520289709</v>
      </c>
      <c r="K152" s="21"/>
    </row>
    <row r="153" spans="3:11" x14ac:dyDescent="0.45">
      <c r="C153" s="19"/>
      <c r="D153">
        <f>_xlfn.T.DIST.2T(ABS(D148/D149),E151)</f>
        <v>0.48665253993890067</v>
      </c>
      <c r="E153">
        <f>_xlfn.T.DIST.2T(ABS(E148/E149),E151)</f>
        <v>1.0240529357174195E-4</v>
      </c>
      <c r="H153">
        <f>_xlfn.T.DIST.2T(ABS(H148/H149),$I$62)</f>
        <v>5.0213694231504872E-4</v>
      </c>
      <c r="I153">
        <f>_xlfn.T.DIST.2T(ABS(I148/I149),I151)</f>
        <v>7.2648240388921809E-8</v>
      </c>
      <c r="K153" s="21"/>
    </row>
    <row r="154" spans="3:11" x14ac:dyDescent="0.45">
      <c r="C154" s="19"/>
      <c r="K154" s="21"/>
    </row>
    <row r="155" spans="3:11" ht="14.65" thickBot="1" x14ac:dyDescent="0.5">
      <c r="C155" s="27"/>
      <c r="D155" s="28"/>
      <c r="E155" s="28"/>
      <c r="F155" s="28"/>
      <c r="G155" s="28"/>
      <c r="H155" s="28"/>
      <c r="I155" s="28"/>
      <c r="J155" s="28"/>
      <c r="K155" s="29"/>
    </row>
    <row r="161" spans="3:15" x14ac:dyDescent="0.45">
      <c r="C161" s="31" t="s">
        <v>43</v>
      </c>
      <c r="D161" s="31"/>
      <c r="E161" s="31"/>
      <c r="I161" s="35" t="s">
        <v>60</v>
      </c>
      <c r="O161" s="35" t="s">
        <v>61</v>
      </c>
    </row>
    <row r="179" spans="3:16" x14ac:dyDescent="0.45">
      <c r="C179" t="s">
        <v>67</v>
      </c>
      <c r="I179" s="32" t="s">
        <v>70</v>
      </c>
      <c r="J179" s="32"/>
      <c r="O179" s="32" t="s">
        <v>71</v>
      </c>
      <c r="P179" s="32"/>
    </row>
    <row r="180" spans="3:16" x14ac:dyDescent="0.45">
      <c r="C180" t="s">
        <v>110</v>
      </c>
      <c r="D180">
        <f>5.5572*21^(0.4992)</f>
        <v>25.404338974524258</v>
      </c>
      <c r="I180" t="s">
        <v>110</v>
      </c>
      <c r="J180">
        <f>7.6651*21^(0.3637)</f>
        <v>23.19578008298857</v>
      </c>
      <c r="O180" t="s">
        <v>110</v>
      </c>
      <c r="P180">
        <f>0.0263*(19^2)-0.2621*19+27.082</f>
        <v>31.596400000000003</v>
      </c>
    </row>
    <row r="184" spans="3:16" x14ac:dyDescent="0.45">
      <c r="C184" s="35" t="s">
        <v>62</v>
      </c>
      <c r="I184" s="35" t="s">
        <v>63</v>
      </c>
    </row>
    <row r="194" spans="3:18" x14ac:dyDescent="0.45">
      <c r="Q194" s="37"/>
      <c r="R194" s="37"/>
    </row>
    <row r="195" spans="3:18" x14ac:dyDescent="0.45">
      <c r="Q195" s="37"/>
      <c r="R195" s="37"/>
    </row>
    <row r="196" spans="3:18" x14ac:dyDescent="0.45">
      <c r="Q196" s="37"/>
      <c r="R196" s="37"/>
    </row>
    <row r="197" spans="3:18" x14ac:dyDescent="0.45">
      <c r="Q197" s="37"/>
      <c r="R197" s="37"/>
    </row>
    <row r="198" spans="3:18" x14ac:dyDescent="0.45">
      <c r="Q198" s="37"/>
      <c r="R198" s="37"/>
    </row>
    <row r="199" spans="3:18" x14ac:dyDescent="0.45">
      <c r="Q199" s="37"/>
      <c r="R199" s="37"/>
    </row>
    <row r="200" spans="3:18" x14ac:dyDescent="0.45">
      <c r="Q200" s="37"/>
      <c r="R200" s="37"/>
    </row>
    <row r="201" spans="3:18" x14ac:dyDescent="0.45">
      <c r="Q201" s="37"/>
      <c r="R201" s="37"/>
    </row>
    <row r="202" spans="3:18" x14ac:dyDescent="0.45">
      <c r="C202" t="s">
        <v>73</v>
      </c>
      <c r="I202" t="s">
        <v>72</v>
      </c>
      <c r="Q202" s="37"/>
      <c r="R202" s="37"/>
    </row>
    <row r="203" spans="3:18" x14ac:dyDescent="0.45">
      <c r="C203" t="s">
        <v>110</v>
      </c>
      <c r="D203">
        <f>0.2074*(21^2)-3.2991*21+94.503</f>
        <v>116.6853</v>
      </c>
      <c r="I203" t="s">
        <v>110</v>
      </c>
      <c r="J203" s="37">
        <f>5.1788*EXP(-0.066*21)</f>
        <v>1.2950811654393128</v>
      </c>
      <c r="K203" s="37"/>
      <c r="L203" s="37"/>
      <c r="M203" s="37"/>
      <c r="N203" s="37"/>
      <c r="O203" s="37"/>
      <c r="P203" s="37"/>
      <c r="Q203" s="37"/>
      <c r="R203" s="37"/>
    </row>
    <row r="204" spans="3:18" x14ac:dyDescent="0.45">
      <c r="J204" s="47"/>
      <c r="K204" s="47"/>
      <c r="L204" s="47"/>
      <c r="M204" s="47"/>
      <c r="N204" s="47"/>
      <c r="O204" s="47"/>
      <c r="P204" s="37"/>
      <c r="Q204" s="37"/>
      <c r="R204" s="37"/>
    </row>
    <row r="205" spans="3:18" x14ac:dyDescent="0.45">
      <c r="J205" s="42"/>
      <c r="K205" s="42"/>
      <c r="L205" s="42"/>
      <c r="M205" s="42"/>
      <c r="N205" s="42"/>
      <c r="O205" s="42"/>
      <c r="P205" s="37"/>
      <c r="Q205" s="37"/>
      <c r="R205" s="37"/>
    </row>
    <row r="206" spans="3:18" x14ac:dyDescent="0.45">
      <c r="J206" s="42"/>
      <c r="K206" s="42"/>
      <c r="L206" s="42"/>
      <c r="M206" s="42"/>
      <c r="N206" s="42"/>
      <c r="O206" s="42"/>
      <c r="P206" s="37"/>
      <c r="Q206" s="37"/>
      <c r="R206" s="37"/>
    </row>
    <row r="207" spans="3:18" x14ac:dyDescent="0.45">
      <c r="J207" s="42"/>
      <c r="K207" s="42"/>
      <c r="L207" s="42"/>
      <c r="M207" s="42"/>
      <c r="N207" s="42"/>
      <c r="O207" s="42"/>
      <c r="P207" s="37"/>
      <c r="Q207" s="37"/>
      <c r="R207" s="37"/>
    </row>
    <row r="208" spans="3:18" x14ac:dyDescent="0.45"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1:18" x14ac:dyDescent="0.45">
      <c r="J209" s="47"/>
      <c r="K209" s="47"/>
      <c r="L209" s="47"/>
      <c r="M209" s="47"/>
      <c r="N209" s="47"/>
      <c r="O209" s="47"/>
      <c r="P209" s="47"/>
      <c r="Q209" s="47"/>
      <c r="R209" s="47"/>
    </row>
    <row r="210" spans="1:18" x14ac:dyDescent="0.45">
      <c r="J210" s="42"/>
      <c r="K210" s="42"/>
      <c r="L210" s="42"/>
      <c r="M210" s="42"/>
      <c r="N210" s="42"/>
      <c r="O210" s="42"/>
      <c r="P210" s="42"/>
      <c r="Q210" s="42"/>
      <c r="R210" s="42"/>
    </row>
    <row r="211" spans="1:18" x14ac:dyDescent="0.45">
      <c r="J211" s="42"/>
      <c r="K211" s="42"/>
      <c r="L211" s="42"/>
      <c r="M211" s="42"/>
      <c r="N211" s="42"/>
      <c r="O211" s="42"/>
      <c r="P211" s="42"/>
      <c r="Q211" s="42"/>
      <c r="R211" s="42"/>
    </row>
    <row r="212" spans="1:18" x14ac:dyDescent="0.45">
      <c r="J212" s="42"/>
      <c r="K212" s="42"/>
      <c r="L212" s="42"/>
      <c r="M212" s="42"/>
      <c r="N212" s="42"/>
      <c r="O212" s="42"/>
      <c r="P212" s="42"/>
      <c r="Q212" s="42"/>
      <c r="R212" s="42"/>
    </row>
    <row r="213" spans="1:18" x14ac:dyDescent="0.45">
      <c r="J213" s="42"/>
      <c r="K213" s="42"/>
      <c r="L213" s="42"/>
      <c r="M213" s="42"/>
      <c r="N213" s="42"/>
      <c r="O213" s="42"/>
      <c r="P213" s="42"/>
      <c r="Q213" s="42"/>
      <c r="R213" s="42"/>
    </row>
    <row r="214" spans="1:18" ht="14.65" thickBot="1" x14ac:dyDescent="0.5">
      <c r="D214" t="s">
        <v>38</v>
      </c>
      <c r="E214" t="s">
        <v>39</v>
      </c>
      <c r="F214" t="s">
        <v>42</v>
      </c>
      <c r="G214" t="s">
        <v>40</v>
      </c>
      <c r="H214" t="s">
        <v>41</v>
      </c>
      <c r="Q214" s="42"/>
      <c r="R214" s="42"/>
    </row>
    <row r="215" spans="1:18" ht="57" x14ac:dyDescent="0.45">
      <c r="A215" s="36" t="s">
        <v>109</v>
      </c>
      <c r="B215" s="36" t="s">
        <v>44</v>
      </c>
      <c r="C215" s="1" t="s">
        <v>0</v>
      </c>
      <c r="D215" s="1" t="s">
        <v>4</v>
      </c>
      <c r="E215" s="1" t="s">
        <v>12</v>
      </c>
      <c r="F215" s="1" t="s">
        <v>11</v>
      </c>
      <c r="G215" s="1" t="s">
        <v>9</v>
      </c>
      <c r="H215" s="2" t="s">
        <v>3</v>
      </c>
      <c r="J215" s="38" t="s">
        <v>74</v>
      </c>
      <c r="K215" s="39" t="s">
        <v>41</v>
      </c>
      <c r="L215" s="40" t="s">
        <v>40</v>
      </c>
      <c r="M215" s="40" t="s">
        <v>42</v>
      </c>
      <c r="N215" s="40" t="s">
        <v>39</v>
      </c>
      <c r="O215" s="40" t="s">
        <v>38</v>
      </c>
      <c r="P215" s="41" t="s">
        <v>75</v>
      </c>
      <c r="Q215" s="42"/>
      <c r="R215" s="42"/>
    </row>
    <row r="216" spans="1:18" x14ac:dyDescent="0.45">
      <c r="A216">
        <v>2003</v>
      </c>
      <c r="B216">
        <v>1</v>
      </c>
      <c r="C216" s="3">
        <v>363.83</v>
      </c>
      <c r="D216" s="6">
        <v>4.88</v>
      </c>
      <c r="E216" s="6">
        <v>5.08</v>
      </c>
      <c r="F216" s="6">
        <v>27.368110000000005</v>
      </c>
      <c r="G216" s="7">
        <v>95.915612648221341</v>
      </c>
      <c r="H216" s="4">
        <v>4.01</v>
      </c>
      <c r="J216" s="19"/>
      <c r="K216" s="37" cm="1">
        <f t="array" ref="K216:P220">LINEST(C216:C233,D216:H233,1,1)</f>
        <v>-187.97335898353177</v>
      </c>
      <c r="L216" s="37">
        <v>-10.527452967679691</v>
      </c>
      <c r="M216" s="37">
        <v>100.96993626707747</v>
      </c>
      <c r="N216" s="37">
        <v>23.402060884105442</v>
      </c>
      <c r="O216" s="37">
        <v>12.477081319541165</v>
      </c>
      <c r="P216" s="21">
        <v>-830.8896073638241</v>
      </c>
    </row>
    <row r="217" spans="1:18" x14ac:dyDescent="0.45">
      <c r="A217">
        <v>2004</v>
      </c>
      <c r="B217">
        <v>2</v>
      </c>
      <c r="C217" s="3">
        <v>409.53</v>
      </c>
      <c r="D217" s="6">
        <v>6.68</v>
      </c>
      <c r="E217" s="6">
        <v>8.0299999999999994</v>
      </c>
      <c r="F217" s="6">
        <v>26.96921</v>
      </c>
      <c r="G217" s="7">
        <v>87.531019685039368</v>
      </c>
      <c r="H217" s="4">
        <v>4.2699999999999996</v>
      </c>
      <c r="J217" s="19"/>
      <c r="K217" s="37">
        <v>22.343677690647823</v>
      </c>
      <c r="L217" s="37">
        <v>3.5774191772148396</v>
      </c>
      <c r="M217" s="37">
        <v>20.350059303851118</v>
      </c>
      <c r="N217" s="37">
        <v>3.8185305266196048</v>
      </c>
      <c r="O217" s="37">
        <v>3.3771935542757872</v>
      </c>
      <c r="P217" s="21">
        <v>442.03331622970296</v>
      </c>
    </row>
    <row r="218" spans="1:18" x14ac:dyDescent="0.45">
      <c r="A218">
        <v>2005</v>
      </c>
      <c r="B218">
        <v>3</v>
      </c>
      <c r="C218" s="3">
        <v>444.99</v>
      </c>
      <c r="D218" s="6">
        <v>7.31</v>
      </c>
      <c r="E218" s="6">
        <v>10.16</v>
      </c>
      <c r="F218" s="6">
        <v>26.436130000000002</v>
      </c>
      <c r="G218" s="7">
        <v>87.145976470588238</v>
      </c>
      <c r="H218" s="4">
        <v>4.29</v>
      </c>
      <c r="J218" s="19"/>
      <c r="K218" s="37">
        <v>0.99430632462205548</v>
      </c>
      <c r="L218" s="37">
        <v>39.146874978921623</v>
      </c>
      <c r="M218" s="37" t="e">
        <v>#N/A</v>
      </c>
      <c r="N218" s="37" t="e">
        <v>#N/A</v>
      </c>
      <c r="O218" s="37" t="e">
        <v>#N/A</v>
      </c>
      <c r="P218" s="21" t="e">
        <v>#N/A</v>
      </c>
    </row>
    <row r="219" spans="1:18" x14ac:dyDescent="0.45">
      <c r="A219">
        <v>2006</v>
      </c>
      <c r="B219">
        <v>4</v>
      </c>
      <c r="C219" s="3">
        <v>604.34</v>
      </c>
      <c r="D219" s="6">
        <v>11.56</v>
      </c>
      <c r="E219" s="6">
        <v>19.12</v>
      </c>
      <c r="F219" s="6">
        <v>26.163239999999995</v>
      </c>
      <c r="G219" s="7">
        <v>86.423519999999996</v>
      </c>
      <c r="H219" s="4">
        <v>4.8</v>
      </c>
      <c r="J219" s="19"/>
      <c r="K219" s="37">
        <v>419.12034330879845</v>
      </c>
      <c r="L219" s="37">
        <v>12</v>
      </c>
      <c r="M219" s="37" t="e">
        <v>#N/A</v>
      </c>
      <c r="N219" s="37" t="e">
        <v>#N/A</v>
      </c>
      <c r="O219" s="37" t="e">
        <v>#N/A</v>
      </c>
      <c r="P219" s="21" t="e">
        <v>#N/A</v>
      </c>
    </row>
    <row r="220" spans="1:18" ht="14.65" thickBot="1" x14ac:dyDescent="0.5">
      <c r="A220">
        <v>2007</v>
      </c>
      <c r="B220">
        <v>5</v>
      </c>
      <c r="C220" s="3">
        <v>696.43</v>
      </c>
      <c r="D220" s="6">
        <v>13.36</v>
      </c>
      <c r="E220" s="6">
        <v>20.200000000000003</v>
      </c>
      <c r="F220" s="6">
        <v>25.77122</v>
      </c>
      <c r="G220" s="7">
        <v>80.78503543307086</v>
      </c>
      <c r="H220" s="4">
        <v>4.63</v>
      </c>
      <c r="J220" s="27"/>
      <c r="K220" s="28">
        <v>3211463.1514470605</v>
      </c>
      <c r="L220" s="28">
        <v>18389.733847383839</v>
      </c>
      <c r="M220" s="28" t="e">
        <v>#N/A</v>
      </c>
      <c r="N220" s="28" t="e">
        <v>#N/A</v>
      </c>
      <c r="O220" s="28" t="e">
        <v>#N/A</v>
      </c>
      <c r="P220" s="29" t="e">
        <v>#N/A</v>
      </c>
    </row>
    <row r="221" spans="1:18" ht="14.65" thickBot="1" x14ac:dyDescent="0.5">
      <c r="A221">
        <v>2008</v>
      </c>
      <c r="B221">
        <v>6</v>
      </c>
      <c r="C221" s="3">
        <v>872.37</v>
      </c>
      <c r="D221" s="6">
        <v>14.97</v>
      </c>
      <c r="E221" s="6">
        <v>19.470000000000002</v>
      </c>
      <c r="F221" s="6">
        <v>25.809720000000006</v>
      </c>
      <c r="G221" s="7">
        <v>77.025200772200776</v>
      </c>
      <c r="H221" s="4">
        <v>3.66</v>
      </c>
    </row>
    <row r="222" spans="1:18" x14ac:dyDescent="0.45">
      <c r="A222">
        <v>2009</v>
      </c>
      <c r="B222">
        <v>7</v>
      </c>
      <c r="C222" s="3">
        <v>973.66</v>
      </c>
      <c r="D222" s="6">
        <v>14.69</v>
      </c>
      <c r="E222" s="6">
        <v>14.829999999999998</v>
      </c>
      <c r="F222" s="6">
        <v>26.549669999999999</v>
      </c>
      <c r="G222" s="7">
        <v>80.791648648648646</v>
      </c>
      <c r="H222" s="4">
        <v>3.26</v>
      </c>
      <c r="J222" s="16" t="s">
        <v>100</v>
      </c>
      <c r="K222" s="17"/>
      <c r="L222" s="17"/>
      <c r="M222" s="17"/>
      <c r="N222" s="17"/>
      <c r="O222" s="17"/>
      <c r="P222" s="18"/>
    </row>
    <row r="223" spans="1:18" x14ac:dyDescent="0.45">
      <c r="A223">
        <v>2010</v>
      </c>
      <c r="B223">
        <v>8</v>
      </c>
      <c r="C223" s="3">
        <v>1226.6600000000001</v>
      </c>
      <c r="D223" s="6">
        <v>20.21</v>
      </c>
      <c r="E223" s="6">
        <v>21.48</v>
      </c>
      <c r="F223" s="6">
        <v>26.715580000000003</v>
      </c>
      <c r="G223" s="7">
        <v>81.353321839080465</v>
      </c>
      <c r="H223" s="4">
        <v>3.2199999999999998</v>
      </c>
      <c r="J223" s="51" t="s">
        <v>102</v>
      </c>
      <c r="K223" s="48" t="s">
        <v>41</v>
      </c>
      <c r="L223" s="49" t="s">
        <v>40</v>
      </c>
      <c r="M223" s="49" t="s">
        <v>42</v>
      </c>
      <c r="N223" s="49" t="s">
        <v>39</v>
      </c>
      <c r="O223" s="49" t="s">
        <v>38</v>
      </c>
      <c r="P223" s="52" t="s">
        <v>75</v>
      </c>
    </row>
    <row r="224" spans="1:18" x14ac:dyDescent="0.45">
      <c r="A224">
        <v>2011</v>
      </c>
      <c r="B224">
        <v>9</v>
      </c>
      <c r="C224" s="3">
        <v>1573.16</v>
      </c>
      <c r="D224" s="6">
        <v>35.29</v>
      </c>
      <c r="E224" s="6">
        <v>25.019999999999996</v>
      </c>
      <c r="F224" s="6">
        <v>27.015050000000009</v>
      </c>
      <c r="G224" s="7">
        <v>76.69775769230769</v>
      </c>
      <c r="H224" s="4">
        <v>2.78</v>
      </c>
      <c r="J224" s="53" t="s">
        <v>93</v>
      </c>
      <c r="K224" s="50">
        <v>-187.97335898353177</v>
      </c>
      <c r="L224" s="50">
        <v>-10.527452967679691</v>
      </c>
      <c r="M224" s="50">
        <v>100.96993626707747</v>
      </c>
      <c r="N224" s="50">
        <v>23.402060884105442</v>
      </c>
      <c r="O224" s="50">
        <v>12.477081319541165</v>
      </c>
      <c r="P224" s="54">
        <v>-830.88959999999997</v>
      </c>
    </row>
    <row r="225" spans="1:16" x14ac:dyDescent="0.45">
      <c r="A225">
        <v>2012</v>
      </c>
      <c r="B225">
        <v>10</v>
      </c>
      <c r="C225" s="3">
        <v>1668.86</v>
      </c>
      <c r="D225" s="6">
        <v>31.18</v>
      </c>
      <c r="E225" s="6">
        <v>22.56</v>
      </c>
      <c r="F225" s="6">
        <v>27.289280000000012</v>
      </c>
      <c r="G225" s="7">
        <v>80.675657692307695</v>
      </c>
      <c r="H225" s="4">
        <v>1.8000000000000003</v>
      </c>
      <c r="J225" s="55" t="s">
        <v>101</v>
      </c>
      <c r="K225" s="56">
        <f>5.1788*EXP(-0.066*19)</f>
        <v>1.4778278920091064</v>
      </c>
      <c r="L225" s="56">
        <f>0.2074*19^2-3.2991*19+94.503</f>
        <v>106.69149999999999</v>
      </c>
      <c r="M225" s="56">
        <f>0.0263*(19^2)-0.2621*19+27.082</f>
        <v>31.596400000000003</v>
      </c>
      <c r="N225" s="56">
        <f>7.6651*19^0.3637</f>
        <v>22.366627747948989</v>
      </c>
      <c r="O225" s="56">
        <f>5.5572*19^0.4992</f>
        <v>24.166281199322682</v>
      </c>
      <c r="P225" s="57" t="s">
        <v>103</v>
      </c>
    </row>
    <row r="226" spans="1:16" ht="14.65" thickBot="1" x14ac:dyDescent="0.5">
      <c r="A226">
        <v>2013</v>
      </c>
      <c r="B226">
        <v>11</v>
      </c>
      <c r="C226" s="3">
        <v>1409.51</v>
      </c>
      <c r="D226" s="6">
        <v>23.85</v>
      </c>
      <c r="E226" s="6">
        <v>20.87</v>
      </c>
      <c r="F226" s="6">
        <v>27.473070000000007</v>
      </c>
      <c r="G226" s="7">
        <v>81.523255813953483</v>
      </c>
      <c r="H226" s="4">
        <v>2.35</v>
      </c>
      <c r="J226" s="58" t="s">
        <v>104</v>
      </c>
      <c r="K226" s="59">
        <f>SUMPRODUCT(K224:O224,K225:O225)+P224</f>
        <v>1783.3647131518578</v>
      </c>
      <c r="L226" s="28"/>
      <c r="M226" s="28"/>
      <c r="N226" s="28"/>
      <c r="O226" s="28"/>
      <c r="P226" s="29"/>
    </row>
    <row r="227" spans="1:16" x14ac:dyDescent="0.45">
      <c r="A227">
        <v>2014</v>
      </c>
      <c r="B227">
        <v>12</v>
      </c>
      <c r="C227" s="3">
        <v>1266.06</v>
      </c>
      <c r="D227" s="6">
        <v>19.079999999999998</v>
      </c>
      <c r="E227" s="6">
        <v>19.41</v>
      </c>
      <c r="F227" s="6">
        <v>27.720430000000004</v>
      </c>
      <c r="G227" s="7">
        <v>82.642864864864862</v>
      </c>
      <c r="H227" s="4">
        <v>2.54</v>
      </c>
      <c r="J227" s="46"/>
      <c r="K227" s="46"/>
      <c r="L227" s="37"/>
      <c r="M227" s="37"/>
      <c r="N227" s="37"/>
      <c r="O227" s="37"/>
      <c r="P227" s="37"/>
    </row>
    <row r="228" spans="1:16" x14ac:dyDescent="0.45">
      <c r="A228">
        <v>2015</v>
      </c>
      <c r="B228">
        <v>13</v>
      </c>
      <c r="C228" s="3">
        <v>1158.8599999999999</v>
      </c>
      <c r="D228" s="6">
        <v>15.71</v>
      </c>
      <c r="E228" s="6">
        <v>15.6</v>
      </c>
      <c r="F228" s="6">
        <v>28.601160000000007</v>
      </c>
      <c r="G228" s="7">
        <v>96.590656370656376</v>
      </c>
      <c r="H228" s="4">
        <v>2.14</v>
      </c>
      <c r="J228" s="42"/>
      <c r="K228" s="42"/>
      <c r="L228" s="37"/>
      <c r="M228" s="37"/>
      <c r="N228" s="37"/>
      <c r="O228" s="37"/>
      <c r="P228" s="37"/>
    </row>
    <row r="229" spans="1:16" x14ac:dyDescent="0.45">
      <c r="A229">
        <v>2016</v>
      </c>
      <c r="B229">
        <v>14</v>
      </c>
      <c r="C229" s="3">
        <v>1251.92</v>
      </c>
      <c r="D229" s="6">
        <v>17.14</v>
      </c>
      <c r="E229" s="6">
        <v>13.76</v>
      </c>
      <c r="F229" s="6">
        <v>28.826500000000006</v>
      </c>
      <c r="G229" s="7">
        <v>96.885158914728677</v>
      </c>
      <c r="H229" s="4">
        <v>1.8399999999999999</v>
      </c>
      <c r="J229" s="42"/>
      <c r="K229" s="42"/>
      <c r="L229" s="37"/>
      <c r="M229" s="37"/>
      <c r="N229" s="37"/>
      <c r="O229" s="37"/>
      <c r="P229" s="37"/>
    </row>
    <row r="230" spans="1:16" x14ac:dyDescent="0.45">
      <c r="A230">
        <v>2017</v>
      </c>
      <c r="B230">
        <v>15</v>
      </c>
      <c r="C230" s="3">
        <v>1260.3900000000001</v>
      </c>
      <c r="D230" s="6">
        <v>17.07</v>
      </c>
      <c r="E230" s="6">
        <v>17.580000000000002</v>
      </c>
      <c r="F230" s="6">
        <v>29.157740000000015</v>
      </c>
      <c r="G230" s="7">
        <v>96.38869260700389</v>
      </c>
      <c r="H230" s="4">
        <v>2.33</v>
      </c>
      <c r="J230" s="42"/>
      <c r="K230" s="42"/>
      <c r="L230" s="37"/>
      <c r="M230" s="37"/>
      <c r="N230" s="37"/>
      <c r="O230" s="37"/>
      <c r="P230" s="37"/>
    </row>
    <row r="231" spans="1:16" x14ac:dyDescent="0.45">
      <c r="A231">
        <v>2018</v>
      </c>
      <c r="B231">
        <v>16</v>
      </c>
      <c r="C231" s="3">
        <v>1268.93</v>
      </c>
      <c r="D231" s="6">
        <v>15.71</v>
      </c>
      <c r="E231" s="6">
        <v>18.329999999999998</v>
      </c>
      <c r="F231" s="6">
        <v>29.643969999999999</v>
      </c>
      <c r="G231" s="7">
        <v>93.402437984496117</v>
      </c>
      <c r="H231" s="4">
        <v>2.91</v>
      </c>
      <c r="J231" s="42">
        <v>1783.3647131518578</v>
      </c>
      <c r="K231" s="42"/>
      <c r="L231" s="37"/>
      <c r="M231" s="37"/>
      <c r="N231" s="37"/>
      <c r="O231" s="37"/>
      <c r="P231" s="37"/>
    </row>
    <row r="232" spans="1:16" x14ac:dyDescent="0.45">
      <c r="A232">
        <v>2019</v>
      </c>
      <c r="B232">
        <v>17</v>
      </c>
      <c r="C232" s="3">
        <v>1393.34</v>
      </c>
      <c r="D232" s="6">
        <v>16.22</v>
      </c>
      <c r="E232" s="6">
        <v>17.010000000000002</v>
      </c>
      <c r="F232" s="6">
        <v>30.23465000000003</v>
      </c>
      <c r="G232" s="7">
        <v>97.158903100775191</v>
      </c>
      <c r="H232" s="4">
        <v>2.14</v>
      </c>
      <c r="M232" s="37"/>
      <c r="N232" s="37"/>
      <c r="O232" s="37"/>
      <c r="P232" s="37"/>
    </row>
    <row r="233" spans="1:16" x14ac:dyDescent="0.45">
      <c r="A233">
        <v>2020</v>
      </c>
      <c r="B233">
        <v>18</v>
      </c>
      <c r="C233" s="3">
        <v>1773.73</v>
      </c>
      <c r="D233" s="6">
        <v>20.69</v>
      </c>
      <c r="E233" s="6">
        <v>17.510000000000002</v>
      </c>
      <c r="F233" s="6">
        <v>30.380080000000014</v>
      </c>
      <c r="G233" s="8">
        <v>95.35642</v>
      </c>
      <c r="H233" s="4">
        <v>0.89</v>
      </c>
      <c r="M233" s="37"/>
      <c r="N233" s="37"/>
      <c r="O233" s="37"/>
      <c r="P233" s="37"/>
    </row>
    <row r="234" spans="1:16" x14ac:dyDescent="0.45">
      <c r="A234">
        <v>2021</v>
      </c>
      <c r="B234">
        <v>19</v>
      </c>
    </row>
    <row r="239" spans="1:16" x14ac:dyDescent="0.45">
      <c r="C239" t="s">
        <v>76</v>
      </c>
    </row>
    <row r="240" spans="1:16" ht="14.65" thickBot="1" x14ac:dyDescent="0.5"/>
    <row r="241" spans="3:11" x14ac:dyDescent="0.45">
      <c r="C241" s="45" t="s">
        <v>77</v>
      </c>
      <c r="D241" s="45"/>
    </row>
    <row r="242" spans="3:11" x14ac:dyDescent="0.45">
      <c r="C242" s="42" t="s">
        <v>78</v>
      </c>
      <c r="D242" s="42">
        <v>0.99714909849132161</v>
      </c>
    </row>
    <row r="243" spans="3:11" x14ac:dyDescent="0.45">
      <c r="C243" s="42" t="s">
        <v>79</v>
      </c>
      <c r="D243" s="42">
        <v>0.99430632462205548</v>
      </c>
    </row>
    <row r="244" spans="3:11" x14ac:dyDescent="0.45">
      <c r="C244" s="42" t="s">
        <v>80</v>
      </c>
      <c r="D244" s="42">
        <v>0.99193395988124544</v>
      </c>
    </row>
    <row r="245" spans="3:11" x14ac:dyDescent="0.45">
      <c r="C245" s="42" t="s">
        <v>81</v>
      </c>
      <c r="D245" s="42">
        <v>39.146874978921623</v>
      </c>
    </row>
    <row r="246" spans="3:11" ht="14.65" thickBot="1" x14ac:dyDescent="0.5">
      <c r="C246" s="43" t="s">
        <v>82</v>
      </c>
      <c r="D246" s="43">
        <v>18</v>
      </c>
    </row>
    <row r="248" spans="3:11" ht="14.65" thickBot="1" x14ac:dyDescent="0.5">
      <c r="C248" t="s">
        <v>83</v>
      </c>
    </row>
    <row r="249" spans="3:11" x14ac:dyDescent="0.45">
      <c r="C249" s="44"/>
      <c r="D249" s="44" t="s">
        <v>88</v>
      </c>
      <c r="E249" s="44" t="s">
        <v>89</v>
      </c>
      <c r="F249" s="44" t="s">
        <v>90</v>
      </c>
      <c r="G249" s="44" t="s">
        <v>91</v>
      </c>
      <c r="H249" s="44" t="s">
        <v>92</v>
      </c>
    </row>
    <row r="250" spans="3:11" x14ac:dyDescent="0.45">
      <c r="C250" s="42" t="s">
        <v>84</v>
      </c>
      <c r="D250" s="42">
        <v>5</v>
      </c>
      <c r="E250" s="42">
        <v>3211463.1514470605</v>
      </c>
      <c r="F250" s="42">
        <v>642292.6302894121</v>
      </c>
      <c r="G250" s="42">
        <v>419.12034330879845</v>
      </c>
      <c r="H250" s="42">
        <v>4.95900637257296E-13</v>
      </c>
    </row>
    <row r="251" spans="3:11" x14ac:dyDescent="0.45">
      <c r="C251" s="42" t="s">
        <v>85</v>
      </c>
      <c r="D251" s="42">
        <v>12</v>
      </c>
      <c r="E251" s="42">
        <v>18389.733847383839</v>
      </c>
      <c r="F251" s="42">
        <v>1532.4778206153198</v>
      </c>
      <c r="G251" s="42"/>
      <c r="H251" s="42"/>
    </row>
    <row r="252" spans="3:11" ht="14.65" thickBot="1" x14ac:dyDescent="0.5">
      <c r="C252" s="43" t="s">
        <v>86</v>
      </c>
      <c r="D252" s="43">
        <v>17</v>
      </c>
      <c r="E252" s="43">
        <v>3229852.8852944444</v>
      </c>
      <c r="F252" s="43"/>
      <c r="G252" s="43"/>
      <c r="H252" s="43"/>
    </row>
    <row r="253" spans="3:11" ht="14.65" thickBot="1" x14ac:dyDescent="0.5"/>
    <row r="254" spans="3:11" x14ac:dyDescent="0.45">
      <c r="C254" s="44"/>
      <c r="D254" s="44" t="s">
        <v>93</v>
      </c>
      <c r="E254" s="44" t="s">
        <v>81</v>
      </c>
      <c r="F254" s="44" t="s">
        <v>94</v>
      </c>
      <c r="G254" s="44" t="s">
        <v>95</v>
      </c>
      <c r="H254" s="44" t="s">
        <v>96</v>
      </c>
      <c r="I254" s="44" t="s">
        <v>97</v>
      </c>
      <c r="J254" s="44" t="s">
        <v>98</v>
      </c>
      <c r="K254" s="44" t="s">
        <v>99</v>
      </c>
    </row>
    <row r="255" spans="3:11" x14ac:dyDescent="0.45">
      <c r="C255" s="42" t="s">
        <v>87</v>
      </c>
      <c r="D255" s="42">
        <v>-830.8896073638241</v>
      </c>
      <c r="E255" s="42">
        <v>442.03331622970296</v>
      </c>
      <c r="F255" s="42">
        <v>-1.8796990562857294</v>
      </c>
      <c r="G255" s="42">
        <v>8.4641431129197808E-2</v>
      </c>
      <c r="H255" s="42">
        <v>-1793.9974679054521</v>
      </c>
      <c r="I255" s="42">
        <v>132.21825317780383</v>
      </c>
      <c r="J255" s="42">
        <v>-1793.9974679054521</v>
      </c>
      <c r="K255" s="42">
        <v>132.21825317780383</v>
      </c>
    </row>
    <row r="256" spans="3:11" x14ac:dyDescent="0.45">
      <c r="C256" s="42" t="s">
        <v>4</v>
      </c>
      <c r="D256" s="42">
        <v>12.477081319541165</v>
      </c>
      <c r="E256" s="42">
        <v>3.3771935542757872</v>
      </c>
      <c r="F256" s="42">
        <v>3.6945117651738437</v>
      </c>
      <c r="G256" s="42">
        <v>3.0663750979790191E-3</v>
      </c>
      <c r="H256" s="42">
        <v>5.1188086752156128</v>
      </c>
      <c r="I256" s="42">
        <v>19.835353963866716</v>
      </c>
      <c r="J256" s="42">
        <v>5.1188086752156128</v>
      </c>
      <c r="K256" s="42">
        <v>19.835353963866716</v>
      </c>
    </row>
    <row r="257" spans="3:11" x14ac:dyDescent="0.45">
      <c r="C257" s="42" t="s">
        <v>12</v>
      </c>
      <c r="D257" s="42">
        <v>23.402060884105442</v>
      </c>
      <c r="E257" s="42">
        <v>3.8185305266196048</v>
      </c>
      <c r="F257" s="42">
        <v>6.1285514731297352</v>
      </c>
      <c r="G257" s="42">
        <v>5.1096780112504455E-5</v>
      </c>
      <c r="H257" s="42">
        <v>15.082197582230689</v>
      </c>
      <c r="I257" s="42">
        <v>31.721924185980193</v>
      </c>
      <c r="J257" s="42">
        <v>15.082197582230689</v>
      </c>
      <c r="K257" s="42">
        <v>31.721924185980193</v>
      </c>
    </row>
    <row r="258" spans="3:11" x14ac:dyDescent="0.45">
      <c r="C258" s="42" t="s">
        <v>11</v>
      </c>
      <c r="D258" s="42">
        <v>100.96993626707747</v>
      </c>
      <c r="E258" s="42">
        <v>20.350059303851118</v>
      </c>
      <c r="F258" s="42">
        <v>4.9616531706111324</v>
      </c>
      <c r="G258" s="42">
        <v>3.2985699927057699E-4</v>
      </c>
      <c r="H258" s="42">
        <v>56.63096597135771</v>
      </c>
      <c r="I258" s="42">
        <v>145.30890656279723</v>
      </c>
      <c r="J258" s="42">
        <v>56.63096597135771</v>
      </c>
      <c r="K258" s="42">
        <v>145.30890656279723</v>
      </c>
    </row>
    <row r="259" spans="3:11" x14ac:dyDescent="0.45">
      <c r="C259" s="42" t="s">
        <v>9</v>
      </c>
      <c r="D259" s="42">
        <v>-10.527452967679691</v>
      </c>
      <c r="E259" s="42">
        <v>3.5774191772148396</v>
      </c>
      <c r="F259" s="42">
        <v>-2.9427507502421686</v>
      </c>
      <c r="G259" s="42">
        <v>1.2308903972176011E-2</v>
      </c>
      <c r="H259" s="42">
        <v>-18.321979768092966</v>
      </c>
      <c r="I259" s="42">
        <v>-2.7329261672664185</v>
      </c>
      <c r="J259" s="42">
        <v>-18.321979768092966</v>
      </c>
      <c r="K259" s="42">
        <v>-2.7329261672664185</v>
      </c>
    </row>
    <row r="260" spans="3:11" ht="14.65" thickBot="1" x14ac:dyDescent="0.5">
      <c r="C260" s="43" t="s">
        <v>3</v>
      </c>
      <c r="D260" s="43">
        <v>-187.97335898353177</v>
      </c>
      <c r="E260" s="43">
        <v>22.343677690647823</v>
      </c>
      <c r="F260" s="43">
        <v>-8.4128209145359261</v>
      </c>
      <c r="G260" s="43">
        <v>2.2380317709680331E-6</v>
      </c>
      <c r="H260" s="43">
        <v>-236.65605059786469</v>
      </c>
      <c r="I260" s="43">
        <v>-139.29066736919884</v>
      </c>
      <c r="J260" s="43">
        <v>-236.65605059786469</v>
      </c>
      <c r="K260" s="43">
        <v>-139.29066736919884</v>
      </c>
    </row>
    <row r="264" spans="3:11" x14ac:dyDescent="0.45">
      <c r="C264" t="s">
        <v>105</v>
      </c>
    </row>
    <row r="265" spans="3:11" ht="14.65" thickBot="1" x14ac:dyDescent="0.5"/>
    <row r="266" spans="3:11" x14ac:dyDescent="0.45">
      <c r="C266" s="44" t="s">
        <v>106</v>
      </c>
      <c r="D266" s="44" t="s">
        <v>107</v>
      </c>
      <c r="E266" s="44" t="s">
        <v>108</v>
      </c>
    </row>
    <row r="267" spans="3:11" x14ac:dyDescent="0.45">
      <c r="C267" s="42">
        <v>1</v>
      </c>
      <c r="D267" s="42">
        <v>348.71707067286241</v>
      </c>
      <c r="E267" s="42">
        <v>15.112929327137579</v>
      </c>
    </row>
    <row r="268" spans="3:11" x14ac:dyDescent="0.45">
      <c r="C268" s="42">
        <v>2</v>
      </c>
      <c r="D268" s="42">
        <v>439.33032381652856</v>
      </c>
      <c r="E268" s="42">
        <v>-29.800323816528589</v>
      </c>
    </row>
    <row r="269" spans="3:11" x14ac:dyDescent="0.45">
      <c r="C269" s="42">
        <v>3</v>
      </c>
      <c r="D269" s="42">
        <v>443.50627825671813</v>
      </c>
      <c r="E269" s="42">
        <v>1.4837217432818761</v>
      </c>
    </row>
    <row r="270" spans="3:11" x14ac:dyDescent="0.45">
      <c r="C270" s="42">
        <v>4</v>
      </c>
      <c r="D270" s="42">
        <v>590.4018669121416</v>
      </c>
      <c r="E270" s="42">
        <v>13.938133087858432</v>
      </c>
    </row>
    <row r="271" spans="3:11" x14ac:dyDescent="0.45">
      <c r="C271" s="42">
        <v>5</v>
      </c>
      <c r="D271" s="42">
        <v>689.86695674126531</v>
      </c>
      <c r="E271" s="42">
        <v>6.5630432587346377</v>
      </c>
    </row>
    <row r="272" spans="3:11" x14ac:dyDescent="0.45">
      <c r="C272" s="42">
        <v>6</v>
      </c>
      <c r="D272" s="42">
        <v>918.67453653919995</v>
      </c>
      <c r="E272" s="42">
        <v>-46.304536539199944</v>
      </c>
    </row>
    <row r="273" spans="3:5" x14ac:dyDescent="0.45">
      <c r="C273" s="42">
        <v>7</v>
      </c>
      <c r="D273" s="42">
        <v>916.84633632719363</v>
      </c>
      <c r="E273" s="42">
        <v>56.813663672806342</v>
      </c>
    </row>
    <row r="274" spans="3:5" x14ac:dyDescent="0.45">
      <c r="C274" s="42">
        <v>8</v>
      </c>
      <c r="D274" s="42">
        <v>1159.7013984802961</v>
      </c>
      <c r="E274" s="42">
        <v>66.958601519703961</v>
      </c>
    </row>
    <row r="275" spans="3:5" x14ac:dyDescent="0.45">
      <c r="C275" s="42">
        <v>9</v>
      </c>
      <c r="D275" s="42">
        <v>1592.6560576685333</v>
      </c>
      <c r="E275" s="42">
        <v>-19.49605766853324</v>
      </c>
    </row>
    <row r="276" spans="3:5" x14ac:dyDescent="0.45">
      <c r="C276" s="42">
        <v>10</v>
      </c>
      <c r="D276" s="42">
        <v>1653.8319059365688</v>
      </c>
      <c r="E276" s="42">
        <v>15.028094063431126</v>
      </c>
    </row>
    <row r="277" spans="3:5" x14ac:dyDescent="0.45">
      <c r="C277" s="42">
        <v>11</v>
      </c>
      <c r="D277" s="42">
        <v>1429.0742847546574</v>
      </c>
      <c r="E277" s="42">
        <v>-19.564284754657365</v>
      </c>
    </row>
    <row r="278" spans="3:5" x14ac:dyDescent="0.45">
      <c r="C278" s="42">
        <v>12</v>
      </c>
      <c r="D278" s="42">
        <v>1312.8659515721465</v>
      </c>
      <c r="E278" s="42">
        <v>-46.805951572146569</v>
      </c>
    </row>
    <row r="279" spans="3:5" x14ac:dyDescent="0.45">
      <c r="C279" s="42">
        <v>13</v>
      </c>
      <c r="D279" s="42">
        <v>1198.9382120385449</v>
      </c>
      <c r="E279" s="42">
        <v>-40.078212038544962</v>
      </c>
    </row>
    <row r="280" spans="3:5" x14ac:dyDescent="0.45">
      <c r="C280" s="42">
        <v>14</v>
      </c>
      <c r="D280" s="42">
        <v>1249.7648577506341</v>
      </c>
      <c r="E280" s="42">
        <v>2.1551422493660084</v>
      </c>
    </row>
    <row r="281" spans="3:5" x14ac:dyDescent="0.45">
      <c r="C281" s="42">
        <v>15</v>
      </c>
      <c r="D281" s="42">
        <v>1284.8521961273368</v>
      </c>
      <c r="E281" s="42">
        <v>-24.462196127336711</v>
      </c>
    </row>
    <row r="282" spans="3:5" x14ac:dyDescent="0.45">
      <c r="C282" s="42">
        <v>16</v>
      </c>
      <c r="D282" s="42">
        <v>1256.9426301844971</v>
      </c>
      <c r="E282" s="42">
        <v>11.987369815502916</v>
      </c>
    </row>
    <row r="283" spans="3:5" x14ac:dyDescent="0.45">
      <c r="C283" s="42">
        <v>17</v>
      </c>
      <c r="D283" s="42">
        <v>1397.2496198256467</v>
      </c>
      <c r="E283" s="42">
        <v>-3.9096198256468142</v>
      </c>
    </row>
    <row r="284" spans="3:5" ht="14.65" thickBot="1" x14ac:dyDescent="0.5">
      <c r="C284" s="43">
        <v>18</v>
      </c>
      <c r="D284" s="43">
        <v>1733.3495163952309</v>
      </c>
      <c r="E284" s="43">
        <v>40.380483604769097</v>
      </c>
    </row>
  </sheetData>
  <mergeCells count="10">
    <mergeCell ref="C161:E161"/>
    <mergeCell ref="I179:J179"/>
    <mergeCell ref="O179:P179"/>
    <mergeCell ref="D25:F25"/>
    <mergeCell ref="M25:O25"/>
    <mergeCell ref="D71:F71"/>
    <mergeCell ref="M71:O71"/>
    <mergeCell ref="D114:F114"/>
    <mergeCell ref="H68:J68"/>
    <mergeCell ref="H69:J6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B6B5C-9F62-4C0D-8A34-B47815BF2198}">
  <dimension ref="A1:E12"/>
  <sheetViews>
    <sheetView workbookViewId="0">
      <selection sqref="A1:H12"/>
    </sheetView>
  </sheetViews>
  <sheetFormatPr defaultRowHeight="14.25" x14ac:dyDescent="0.45"/>
  <cols>
    <col min="1" max="1" width="34.3984375" customWidth="1"/>
    <col min="2" max="2" width="22.1328125" customWidth="1"/>
  </cols>
  <sheetData>
    <row r="1" spans="1:5" x14ac:dyDescent="0.45">
      <c r="A1" t="s">
        <v>13</v>
      </c>
      <c r="B1" t="s">
        <v>14</v>
      </c>
      <c r="C1" t="s">
        <v>15</v>
      </c>
    </row>
    <row r="2" spans="1:5" ht="25.15" customHeight="1" x14ac:dyDescent="0.45">
      <c r="A2" s="1" t="s">
        <v>16</v>
      </c>
      <c r="B2" t="s">
        <v>17</v>
      </c>
      <c r="C2" s="10" t="s">
        <v>18</v>
      </c>
    </row>
    <row r="3" spans="1:5" ht="28.5" customHeight="1" x14ac:dyDescent="0.45">
      <c r="A3" s="11" t="s">
        <v>1</v>
      </c>
      <c r="B3" t="s">
        <v>19</v>
      </c>
      <c r="C3" s="10" t="s">
        <v>20</v>
      </c>
    </row>
    <row r="4" spans="1:5" ht="31.15" customHeight="1" x14ac:dyDescent="0.45">
      <c r="A4" s="11" t="s">
        <v>2</v>
      </c>
      <c r="B4" t="s">
        <v>21</v>
      </c>
      <c r="C4" t="s">
        <v>22</v>
      </c>
    </row>
    <row r="5" spans="1:5" ht="25.9" customHeight="1" x14ac:dyDescent="0.45">
      <c r="A5" s="11" t="s">
        <v>23</v>
      </c>
      <c r="B5" t="s">
        <v>17</v>
      </c>
      <c r="C5" t="s">
        <v>24</v>
      </c>
    </row>
    <row r="6" spans="1:5" ht="27" customHeight="1" x14ac:dyDescent="0.45">
      <c r="A6" s="1" t="s">
        <v>25</v>
      </c>
      <c r="B6" t="s">
        <v>26</v>
      </c>
      <c r="C6" s="10" t="s">
        <v>27</v>
      </c>
    </row>
    <row r="7" spans="1:5" ht="25.9" customHeight="1" x14ac:dyDescent="0.45">
      <c r="A7" s="1" t="s">
        <v>5</v>
      </c>
      <c r="B7" t="s">
        <v>17</v>
      </c>
      <c r="C7" s="10" t="s">
        <v>28</v>
      </c>
    </row>
    <row r="8" spans="1:5" ht="23.25" customHeight="1" x14ac:dyDescent="0.45">
      <c r="A8" s="1" t="s">
        <v>6</v>
      </c>
      <c r="B8" t="s">
        <v>17</v>
      </c>
      <c r="C8" s="10" t="s">
        <v>29</v>
      </c>
    </row>
    <row r="9" spans="1:5" ht="27.4" customHeight="1" x14ac:dyDescent="0.45">
      <c r="A9" s="1" t="s">
        <v>30</v>
      </c>
      <c r="B9" t="s">
        <v>17</v>
      </c>
      <c r="C9" t="s">
        <v>29</v>
      </c>
    </row>
    <row r="10" spans="1:5" ht="34.5" customHeight="1" x14ac:dyDescent="0.45">
      <c r="A10" s="1" t="s">
        <v>7</v>
      </c>
      <c r="B10" t="s">
        <v>31</v>
      </c>
      <c r="C10" t="s">
        <v>32</v>
      </c>
    </row>
    <row r="11" spans="1:5" ht="25.5" customHeight="1" x14ac:dyDescent="0.45">
      <c r="A11" s="1" t="s">
        <v>8</v>
      </c>
      <c r="B11" t="s">
        <v>33</v>
      </c>
      <c r="C11" t="s">
        <v>34</v>
      </c>
    </row>
    <row r="12" spans="1:5" ht="37.15" customHeight="1" x14ac:dyDescent="0.45">
      <c r="A12" s="1" t="s">
        <v>9</v>
      </c>
      <c r="B12" s="12" t="s">
        <v>35</v>
      </c>
      <c r="C12" s="12" t="s">
        <v>36</v>
      </c>
      <c r="D12" s="12"/>
      <c r="E12" s="12"/>
    </row>
  </sheetData>
  <hyperlinks>
    <hyperlink ref="C3" r:id="rId1" xr:uid="{346CC9CD-C750-4791-A39A-1322D2DDFA2D}"/>
    <hyperlink ref="C6" r:id="rId2" xr:uid="{89E6C4FD-3F71-42AA-86A9-F23836F74C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Dane</vt:lpstr>
      <vt:lpstr>Wykresy zmiennych</vt:lpstr>
      <vt:lpstr>Źródła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Olgierd Durski</dc:creator>
  <cp:lastModifiedBy>Olgierd Durski</cp:lastModifiedBy>
  <dcterms:created xsi:type="dcterms:W3CDTF">2025-05-16T07:42:35Z</dcterms:created>
  <dcterms:modified xsi:type="dcterms:W3CDTF">2025-05-26T17:42:17Z</dcterms:modified>
</cp:coreProperties>
</file>